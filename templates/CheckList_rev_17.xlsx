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xr:revisionPtr revIDLastSave="0" documentId="13_ncr:1_{3D1F1A34-3173-E741-9B37-052D4DC00153}" xr6:coauthVersionLast="47" xr6:coauthVersionMax="47" xr10:uidLastSave="{00000000-0000-0000-0000-000000000000}"/>
  <bookViews>
    <workbookView xWindow="35000" yWindow="10900" windowWidth="34400" windowHeight="28180" activeTab="1" xr2:uid="{00000000-000D-0000-FFFF-FFFF00000000}"/>
  </bookViews>
  <sheets>
    <sheet name="記入用" sheetId="1" r:id="rId1"/>
    <sheet name="コピー用" sheetId="6" r:id="rId2"/>
    <sheet name="Python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6" l="1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47" i="6"/>
  <c r="O6" i="6" l="1"/>
  <c r="B4" i="8" s="1"/>
  <c r="O7" i="6"/>
  <c r="B5" i="8" s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N6" i="6"/>
  <c r="A4" i="8" s="1"/>
  <c r="N7" i="6"/>
  <c r="A5" i="8" s="1"/>
  <c r="C106" i="6"/>
  <c r="C105" i="6"/>
  <c r="C99" i="6"/>
  <c r="N5" i="6" s="1"/>
  <c r="A3" i="8" s="1"/>
  <c r="C46" i="6"/>
  <c r="N4" i="6" s="1"/>
  <c r="A2" i="8" s="1"/>
  <c r="C3" i="6"/>
  <c r="N3" i="6" s="1"/>
  <c r="A1" i="8" s="1"/>
  <c r="O4" i="6" l="1"/>
  <c r="F8" i="1"/>
  <c r="L8" i="1"/>
  <c r="L60" i="1" s="1"/>
  <c r="R8" i="1"/>
  <c r="F9" i="1"/>
  <c r="L9" i="1"/>
  <c r="R9" i="1"/>
  <c r="F10" i="1"/>
  <c r="L10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58" i="1"/>
  <c r="R59" i="1"/>
  <c r="C4" i="6"/>
  <c r="O3" i="6" s="1" a="1"/>
  <c r="O3" i="6" s="1"/>
  <c r="C101" i="6"/>
  <c r="C102" i="6"/>
  <c r="C103" i="6"/>
  <c r="C104" i="6"/>
  <c r="C100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O5" i="6" l="1" a="1"/>
  <c r="O5" i="6" s="1"/>
  <c r="B3" i="8" s="1"/>
  <c r="B1" i="8"/>
  <c r="B2" i="8"/>
  <c r="R60" i="1"/>
  <c r="F60" i="1"/>
  <c r="F6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<sst xmlns="http://schemas.openxmlformats.org/spreadsheetml/2006/main" count="163" uniqueCount="126">
  <si>
    <t>帰属</t>
    <rPh sb="0" eb="2">
      <t>キゾク</t>
    </rPh>
    <phoneticPr fontId="1"/>
  </si>
  <si>
    <t>13Cシフト
&amp;
個数</t>
    <rPh sb="9" eb="11">
      <t>コスウ</t>
    </rPh>
    <phoneticPr fontId="1"/>
  </si>
  <si>
    <t>Formula</t>
    <phoneticPr fontId="1"/>
  </si>
  <si>
    <t>MS calcd</t>
  </si>
  <si>
    <t>MS found</t>
  </si>
  <si>
    <t>重複</t>
  </si>
  <si>
    <t>13Cシフト
&amp;
個数
→
→
書き込む
→
→</t>
  </si>
  <si>
    <t>1Hシフト
&amp;
J値
→
→
書き込む
→
→</t>
  </si>
  <si>
    <t>合計1H数</t>
  </si>
  <si>
    <t>合計13C数</t>
  </si>
  <si>
    <t>13C数</t>
  </si>
  <si>
    <t>1H数</t>
  </si>
  <si>
    <t>化学シフト, J値（貼り付ける）</t>
  </si>
  <si>
    <t>シフト（貼り付ける）</t>
  </si>
  <si>
    <t>↓コピー範囲↓</t>
  </si>
  <si>
    <t>1H以外
の時、H数
を書く</t>
  </si>
  <si>
    <t>1C以外
の時、C数
を書く</t>
  </si>
  <si>
    <t xml:space="preserve">1Hシフト
&amp;
J値
</t>
  </si>
  <si>
    <t>HRMS</t>
  </si>
  <si>
    <t>Note</t>
    <phoneticPr fontId="1"/>
  </si>
  <si>
    <t>looks</t>
    <phoneticPr fontId="1"/>
  </si>
  <si>
    <t>OR</t>
    <phoneticPr fontId="1"/>
  </si>
  <si>
    <t>OH</t>
  </si>
  <si>
    <t>19Fシフト
&amp;
個数
→
→
書き込む
→
→</t>
  </si>
  <si>
    <t>1F以外
の時、F数
を書く</t>
  </si>
  <si>
    <t>19Fシフト
&amp;
個数</t>
  </si>
  <si>
    <t>ESI-MS</t>
  </si>
  <si>
    <t>Solvent for 1H</t>
  </si>
  <si>
    <t>Solvent for 13C</t>
  </si>
  <si>
    <t>M+Na</t>
  </si>
  <si>
    <t>Solvent/Temp</t>
  </si>
  <si>
    <t>relative-OR/conc</t>
  </si>
  <si>
    <t>white solid</t>
  </si>
  <si>
    <t>OR</t>
  </si>
  <si>
    <t>29</t>
  </si>
  <si>
    <t>CHCl3</t>
    <phoneticPr fontId="1"/>
  </si>
  <si>
    <t>CDCl3</t>
    <phoneticPr fontId="1"/>
  </si>
  <si>
    <t>合計19F数</t>
  </si>
  <si>
    <t>19F数</t>
  </si>
  <si>
    <t>Ionization</t>
  </si>
  <si>
    <t>ESI</t>
  </si>
  <si>
    <t>化合物構造をここに添付</t>
  </si>
  <si>
    <t>C42H65FO9</t>
    <phoneticPr fontId="1"/>
  </si>
  <si>
    <t>755.4510</t>
    <phoneticPr fontId="1"/>
  </si>
  <si>
    <t>HRMS(ESI): m/z calcd for</t>
  </si>
  <si>
    <t>-29.5</t>
    <phoneticPr fontId="1"/>
  </si>
  <si>
    <t>755.4496</t>
    <phoneticPr fontId="1"/>
  </si>
  <si>
    <t>0.25</t>
    <phoneticPr fontId="1"/>
  </si>
  <si>
    <t>170.29</t>
  </si>
  <si>
    <t>Ac</t>
    <phoneticPr fontId="1"/>
  </si>
  <si>
    <t>170.22</t>
  </si>
  <si>
    <t>156.57</t>
  </si>
  <si>
    <t>138.67</t>
  </si>
  <si>
    <t>Bn C</t>
    <phoneticPr fontId="1"/>
  </si>
  <si>
    <t>138.48</t>
  </si>
  <si>
    <t>137.88</t>
  </si>
  <si>
    <t>137.33</t>
  </si>
  <si>
    <t>128.96</t>
  </si>
  <si>
    <t>Bn CH</t>
    <phoneticPr fontId="1"/>
  </si>
  <si>
    <t>128.59</t>
  </si>
  <si>
    <t>128.51</t>
  </si>
  <si>
    <t>128.45</t>
  </si>
  <si>
    <t>128.42</t>
  </si>
  <si>
    <t>128.22</t>
  </si>
  <si>
    <t>128.06</t>
  </si>
  <si>
    <t>128.00</t>
  </si>
  <si>
    <t>127.98</t>
  </si>
  <si>
    <t>127.96</t>
  </si>
  <si>
    <t>127.77</t>
  </si>
  <si>
    <t>111.37</t>
  </si>
  <si>
    <t>102.73</t>
  </si>
  <si>
    <t>84.29</t>
  </si>
  <si>
    <t>82.20</t>
  </si>
  <si>
    <t>81.55</t>
  </si>
  <si>
    <t>81.10</t>
  </si>
  <si>
    <t>1'</t>
    <phoneticPr fontId="1"/>
  </si>
  <si>
    <t>77.08</t>
  </si>
  <si>
    <t>3'</t>
    <phoneticPr fontId="1"/>
  </si>
  <si>
    <t>76.08</t>
  </si>
  <si>
    <t>BnCH2</t>
    <phoneticPr fontId="1"/>
  </si>
  <si>
    <t>75.60</t>
  </si>
  <si>
    <t>75.09</t>
  </si>
  <si>
    <t>71.44</t>
  </si>
  <si>
    <t>69.76</t>
  </si>
  <si>
    <t>4'</t>
    <phoneticPr fontId="1"/>
  </si>
  <si>
    <t>69.39</t>
  </si>
  <si>
    <t>2'</t>
    <phoneticPr fontId="1"/>
  </si>
  <si>
    <t>69.21</t>
  </si>
  <si>
    <t>66.89</t>
  </si>
  <si>
    <t>5'</t>
    <phoneticPr fontId="1"/>
  </si>
  <si>
    <t>21.27</t>
  </si>
  <si>
    <t>20.90</t>
  </si>
  <si>
    <t>18.35</t>
  </si>
  <si>
    <t>TIPS</t>
    <phoneticPr fontId="1"/>
  </si>
  <si>
    <t>18.18</t>
  </si>
  <si>
    <t>13.39</t>
  </si>
  <si>
    <t>7.38–7.26 (m, 20H)</t>
    <phoneticPr fontId="1"/>
  </si>
  <si>
    <t>5.14 (dd, J = 34.3, 8.5 Hz, 1H)</t>
    <phoneticPr fontId="1"/>
  </si>
  <si>
    <t>5.11 (dd, J = 9.2, 9.0 Hz, 1H)</t>
    <phoneticPr fontId="1"/>
  </si>
  <si>
    <t>4.99 (ddd,  J = 10.3, 9.2, 5.6 Hz, 1H)</t>
    <phoneticPr fontId="1"/>
  </si>
  <si>
    <t>4.94 (m, 2H)</t>
    <phoneticPr fontId="1"/>
  </si>
  <si>
    <t>Bn (A,B)</t>
    <phoneticPr fontId="1"/>
  </si>
  <si>
    <t>4.89 (d, J = 10.8 Hz, 1H)</t>
  </si>
  <si>
    <t>BnC</t>
    <phoneticPr fontId="1"/>
  </si>
  <si>
    <t>4.82 (d, J = 10.8 Hz, 1H)</t>
  </si>
  <si>
    <t>4.73 (d, J = 11.0 Hz, 1H)</t>
    <phoneticPr fontId="1"/>
  </si>
  <si>
    <t>BnA</t>
    <phoneticPr fontId="1"/>
  </si>
  <si>
    <t>4.72 (d, J = 10.2 Hz, 1H)</t>
    <phoneticPr fontId="1"/>
  </si>
  <si>
    <t>BnD</t>
    <phoneticPr fontId="1"/>
  </si>
  <si>
    <t>4.69 (d, J = 10.2 Hz, 1H)</t>
  </si>
  <si>
    <t>4.59 (d, J = 11.8 Hz, 1H)</t>
  </si>
  <si>
    <t>BnB</t>
    <phoneticPr fontId="1"/>
  </si>
  <si>
    <t>4.56 (d, J = 7.8 Hz, 1H)</t>
  </si>
  <si>
    <t>4.34 (dd, J = 9.2, 8.5 Hz, 1H)</t>
    <phoneticPr fontId="1"/>
  </si>
  <si>
    <t>4.21 (dd, J = 9.1, 9.0 Hz, 1H)</t>
    <phoneticPr fontId="1"/>
  </si>
  <si>
    <t>4.07 (dd, J = 11.1, 5.6 Hz, 1H)</t>
    <phoneticPr fontId="1"/>
  </si>
  <si>
    <t>5' eq</t>
    <phoneticPr fontId="1"/>
  </si>
  <si>
    <t>3.73 (dd, J = 24.2, 9.1 Hz, 1H)</t>
    <phoneticPr fontId="1"/>
  </si>
  <si>
    <t>3.68 (dd, J = 9.3, 9.1 Hz, 1H)</t>
    <phoneticPr fontId="1"/>
  </si>
  <si>
    <t>3.50 (dd, J = 9.2, 7.8 Hz, 1H)</t>
    <phoneticPr fontId="1"/>
  </si>
  <si>
    <t>3.42 (dd, J = 11.1, 10.3 Hz, 1H)</t>
    <phoneticPr fontId="1"/>
  </si>
  <si>
    <t>5' ax</t>
    <phoneticPr fontId="1"/>
  </si>
  <si>
    <t>3.37 (dd, J = 9.2, 9.1 Hz, 1H)</t>
    <phoneticPr fontId="1"/>
  </si>
  <si>
    <t>2.09 (s, 3H)</t>
  </si>
  <si>
    <t>2.04 (s, 3H)</t>
  </si>
  <si>
    <t>1.11–1.07 (m, 21H)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</si>
</sst>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0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UD Digi Kyokasho NK-B"/>
      <family val="1"/>
      <charset val="128"/>
    </font>
    <font>
      <b/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游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03764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double">
        <color indexed="64"/>
      </top>
      <bottom style="thick">
        <color theme="7" tint="0.39994506668294322"/>
      </bottom>
      <diagonal/>
    </border>
    <border>
      <left style="medium">
        <color indexed="64"/>
      </left>
      <right style="thick">
        <color rgb="FFFF0000"/>
      </right>
      <top style="thick">
        <color theme="7" tint="0.39994506668294322"/>
      </top>
      <bottom style="thick">
        <color theme="7" tint="0.39994506668294322"/>
      </bottom>
      <diagonal/>
    </border>
    <border>
      <left style="medium">
        <color indexed="64"/>
      </left>
      <right style="thick">
        <color rgb="FFFF0000"/>
      </right>
      <top/>
      <bottom style="thick">
        <color theme="7" tint="0.39994506668294322"/>
      </bottom>
      <diagonal/>
    </border>
    <border>
      <left style="medium">
        <color indexed="64"/>
      </left>
      <right style="thick">
        <color rgb="FFFF0000"/>
      </right>
      <top style="thick">
        <color theme="7" tint="0.39994506668294322"/>
      </top>
      <bottom/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double">
        <color indexed="64"/>
      </top>
      <bottom style="double">
        <color indexed="64"/>
      </bottom>
      <diagonal/>
    </border>
    <border>
      <left style="thick">
        <color rgb="FFFF0000"/>
      </left>
      <right style="thick">
        <color rgb="FFFF0000"/>
      </right>
      <top style="double">
        <color indexed="64"/>
      </top>
      <bottom style="thick">
        <color rgb="FFFF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64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 wrapText="1"/>
    </xf>
    <xf numFmtId="0" fontId="0" fillId="3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3" borderId="12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4" borderId="13" xfId="0" applyFill="1" applyBorder="1" applyAlignment="1" applyProtection="1">
      <alignment horizontal="left" vertical="center"/>
      <protection locked="0"/>
    </xf>
    <xf numFmtId="0" fontId="0" fillId="5" borderId="13" xfId="0" applyFill="1" applyBorder="1" applyAlignment="1">
      <alignment horizontal="center"/>
    </xf>
    <xf numFmtId="0" fontId="0" fillId="4" borderId="6" xfId="0" applyFill="1" applyBorder="1" applyAlignment="1" applyProtection="1">
      <alignment horizontal="left"/>
      <protection locked="0"/>
    </xf>
    <xf numFmtId="0" fontId="0" fillId="4" borderId="6" xfId="0" applyFill="1" applyBorder="1" applyAlignment="1" applyProtection="1">
      <alignment horizontal="left" vertical="center"/>
      <protection locked="0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0" fontId="0" fillId="4" borderId="6" xfId="0" applyFill="1" applyBorder="1" applyAlignment="1" applyProtection="1">
      <alignment horizontal="center" vertical="center"/>
      <protection locked="0"/>
    </xf>
    <xf numFmtId="49" fontId="0" fillId="4" borderId="6" xfId="0" applyNumberFormat="1" applyFill="1" applyBorder="1" applyProtection="1">
      <protection locked="0"/>
    </xf>
    <xf numFmtId="0" fontId="0" fillId="4" borderId="6" xfId="0" applyFill="1" applyBorder="1" applyAlignment="1">
      <alignment horizontal="center"/>
    </xf>
    <xf numFmtId="0" fontId="5" fillId="4" borderId="6" xfId="0" applyFont="1" applyFill="1" applyBorder="1" applyAlignment="1" applyProtection="1">
      <alignment horizontal="justify" vertic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4" borderId="6" xfId="0" applyFill="1" applyBorder="1" applyAlignment="1" applyProtection="1">
      <alignment horizontal="center"/>
      <protection locked="0"/>
    </xf>
    <xf numFmtId="0" fontId="0" fillId="4" borderId="6" xfId="1" applyFont="1" applyFill="1" applyBorder="1" applyAlignment="1" applyProtection="1">
      <alignment horizontal="left" vertical="center"/>
      <protection locked="0"/>
    </xf>
    <xf numFmtId="0" fontId="5" fillId="4" borderId="6" xfId="0" applyFont="1" applyFill="1" applyBorder="1" applyAlignment="1" applyProtection="1">
      <alignment horizontal="right" vertical="center"/>
      <protection locked="0"/>
    </xf>
    <xf numFmtId="0" fontId="0" fillId="4" borderId="9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2" fontId="0" fillId="4" borderId="6" xfId="0" applyNumberFormat="1" applyFill="1" applyBorder="1" applyAlignment="1" applyProtection="1">
      <alignment horizontal="right"/>
      <protection locked="0"/>
    </xf>
    <xf numFmtId="2" fontId="0" fillId="4" borderId="6" xfId="0" applyNumberFormat="1" applyFill="1" applyBorder="1" applyAlignment="1" applyProtection="1">
      <alignment horizontal="right"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/>
    </xf>
    <xf numFmtId="0" fontId="8" fillId="4" borderId="6" xfId="2" applyFill="1" applyBorder="1" applyAlignment="1" applyProtection="1">
      <alignment horizontal="center" vertical="center"/>
      <protection locked="0"/>
    </xf>
    <xf numFmtId="0" fontId="0" fillId="4" borderId="22" xfId="0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9" fillId="4" borderId="6" xfId="0" applyFont="1" applyFill="1" applyBorder="1" applyAlignment="1">
      <alignment horizontal="justify" vertical="center"/>
    </xf>
    <xf numFmtId="0" fontId="0" fillId="4" borderId="16" xfId="0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0" fontId="7" fillId="4" borderId="13" xfId="0" quotePrefix="1" applyFont="1" applyFill="1" applyBorder="1" applyAlignment="1" applyProtection="1">
      <alignment horizontal="left" vertical="center"/>
      <protection locked="0"/>
    </xf>
    <xf numFmtId="164" fontId="0" fillId="3" borderId="30" xfId="0" applyNumberFormat="1" applyFill="1" applyBorder="1" applyAlignment="1">
      <alignment horizontal="center" vertical="center"/>
    </xf>
    <xf numFmtId="49" fontId="5" fillId="4" borderId="6" xfId="0" applyNumberFormat="1" applyFont="1" applyFill="1" applyBorder="1" applyAlignment="1" applyProtection="1">
      <alignment horizontal="right" vertical="center"/>
      <protection locked="0"/>
    </xf>
    <xf numFmtId="49" fontId="0" fillId="4" borderId="6" xfId="0" applyNumberFormat="1" applyFill="1" applyBorder="1" applyAlignment="1" applyProtection="1">
      <alignment horizontal="right"/>
      <protection locked="0"/>
    </xf>
    <xf numFmtId="49" fontId="0" fillId="4" borderId="6" xfId="0" applyNumberFormat="1" applyFill="1" applyBorder="1" applyAlignment="1" applyProtection="1">
      <alignment horizontal="right" vertical="center"/>
      <protection locked="0"/>
    </xf>
    <xf numFmtId="164" fontId="0" fillId="4" borderId="6" xfId="0" applyNumberFormat="1" applyFill="1" applyBorder="1" applyAlignment="1">
      <alignment horizontal="left" vertical="center"/>
    </xf>
    <xf numFmtId="0" fontId="0" fillId="4" borderId="1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2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31" xfId="1" applyBorder="1" applyAlignment="1">
      <alignment horizontal="center" vertical="center"/>
    </xf>
    <xf numFmtId="0" fontId="2" fillId="2" borderId="32" xfId="1" applyBorder="1" applyAlignment="1">
      <alignment horizontal="left" vertical="center"/>
    </xf>
    <xf numFmtId="0" fontId="2" fillId="2" borderId="33" xfId="1" applyBorder="1" applyAlignment="1">
      <alignment horizontal="left" vertical="center"/>
    </xf>
    <xf numFmtId="2" fontId="2" fillId="2" borderId="32" xfId="1" applyNumberFormat="1" applyBorder="1" applyAlignment="1">
      <alignment horizontal="left"/>
    </xf>
    <xf numFmtId="2" fontId="2" fillId="2" borderId="33" xfId="1" applyNumberFormat="1" applyBorder="1" applyAlignment="1">
      <alignment horizontal="center"/>
    </xf>
    <xf numFmtId="164" fontId="6" fillId="2" borderId="34" xfId="1" applyNumberFormat="1" applyFont="1" applyBorder="1" applyAlignment="1">
      <alignment horizontal="center" vertical="center"/>
    </xf>
    <xf numFmtId="164" fontId="6" fillId="2" borderId="35" xfId="1" applyNumberFormat="1" applyFont="1" applyBorder="1" applyAlignment="1">
      <alignment horizontal="center" vertical="center"/>
    </xf>
  </cellXfs>
  <cellStyles count="3">
    <cellStyle name="20% - Accent1" xfId="1" builtinId="30"/>
    <cellStyle name="Hyperlink" xfId="2" builtinId="8"/>
    <cellStyle name="Normal" xfId="0" builtinId="0"/>
  </cellStyles>
  <dxfs count="18">
    <dxf>
      <font>
        <strike val="0"/>
      </font>
      <fill>
        <patternFill>
          <bgColor theme="4" tint="0.79998168889431442"/>
        </patternFill>
      </fill>
    </dxf>
    <dxf>
      <font>
        <strike val="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b/>
        <i val="0"/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theme="8" tint="-0.499984740745262"/>
        </patternFill>
      </fill>
    </dxf>
  </dxfs>
  <tableStyles count="0" defaultTableStyle="TableStyleMedium2" defaultPivotStyle="PivotStyleLight16"/>
  <colors>
    <mruColors>
      <color rgb="FF20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1"/>
  <sheetViews>
    <sheetView topLeftCell="C26" zoomScale="125" zoomScaleNormal="220" workbookViewId="0">
      <selection activeCell="O8" sqref="O8"/>
    </sheetView>
  </sheetViews>
  <sheetFormatPr baseColWidth="10" defaultColWidth="8.83203125" defaultRowHeight="15"/>
  <cols>
    <col min="2" max="2" width="10.6640625" style="1" customWidth="1"/>
    <col min="3" max="3" width="32.6640625" style="4" customWidth="1"/>
    <col min="4" max="4" width="10.6640625" style="3" customWidth="1"/>
    <col min="5" max="5" width="13.5" customWidth="1"/>
    <col min="6" max="6" width="13.1640625" style="3" customWidth="1"/>
    <col min="7" max="7" width="5" customWidth="1"/>
    <col min="8" max="8" width="13.5" customWidth="1"/>
    <col min="9" max="9" width="23.6640625" style="9" customWidth="1"/>
    <col min="10" max="10" width="11.83203125" style="2" customWidth="1"/>
    <col min="11" max="11" width="14.6640625" style="5" customWidth="1"/>
    <col min="12" max="12" width="14.6640625" customWidth="1"/>
    <col min="13" max="13" width="1.83203125" customWidth="1"/>
    <col min="14" max="14" width="12.33203125" customWidth="1"/>
    <col min="15" max="15" width="23.6640625" customWidth="1"/>
    <col min="16" max="16" width="11.5" customWidth="1"/>
    <col min="17" max="17" width="10.6640625" customWidth="1"/>
    <col min="18" max="18" width="10.5" customWidth="1"/>
  </cols>
  <sheetData>
    <row r="1" spans="1:18" ht="177" customHeight="1">
      <c r="A1" s="82" t="s">
        <v>41</v>
      </c>
      <c r="B1" s="82"/>
      <c r="C1" s="82"/>
    </row>
    <row r="2" spans="1:18">
      <c r="A2" s="82"/>
      <c r="B2" s="82"/>
      <c r="C2" s="82"/>
      <c r="E2" s="10" t="s">
        <v>19</v>
      </c>
      <c r="F2" s="10" t="s">
        <v>20</v>
      </c>
      <c r="H2" s="73" t="s">
        <v>18</v>
      </c>
      <c r="I2" s="44" t="s">
        <v>2</v>
      </c>
      <c r="J2" s="44" t="s">
        <v>3</v>
      </c>
      <c r="K2" s="80" t="s">
        <v>21</v>
      </c>
      <c r="L2" s="81"/>
    </row>
    <row r="3" spans="1:18">
      <c r="A3" s="82"/>
      <c r="B3" s="82"/>
      <c r="C3" s="82"/>
      <c r="E3" s="47"/>
      <c r="F3" s="31" t="s">
        <v>32</v>
      </c>
      <c r="G3" s="43"/>
      <c r="H3" s="73"/>
      <c r="I3" s="31" t="s">
        <v>42</v>
      </c>
      <c r="J3" s="32" t="s">
        <v>43</v>
      </c>
      <c r="K3" s="44" t="s">
        <v>31</v>
      </c>
      <c r="L3" s="44" t="s">
        <v>30</v>
      </c>
    </row>
    <row r="4" spans="1:18">
      <c r="A4" s="82"/>
      <c r="B4" s="82"/>
      <c r="C4" s="82"/>
      <c r="E4" s="10" t="s">
        <v>27</v>
      </c>
      <c r="F4" s="44" t="s">
        <v>28</v>
      </c>
      <c r="H4" s="44" t="s">
        <v>39</v>
      </c>
      <c r="I4" s="44" t="s">
        <v>44</v>
      </c>
      <c r="J4" s="44" t="s">
        <v>4</v>
      </c>
      <c r="K4" s="46" t="s">
        <v>45</v>
      </c>
      <c r="L4" s="45" t="s">
        <v>35</v>
      </c>
    </row>
    <row r="5" spans="1:18">
      <c r="A5" s="82"/>
      <c r="B5" s="82"/>
      <c r="C5" s="82"/>
      <c r="E5" s="33" t="s">
        <v>36</v>
      </c>
      <c r="F5" s="33" t="s">
        <v>36</v>
      </c>
      <c r="H5" s="33" t="s">
        <v>40</v>
      </c>
      <c r="I5" s="30" t="s">
        <v>29</v>
      </c>
      <c r="J5" s="32" t="s">
        <v>46</v>
      </c>
      <c r="K5" s="46" t="s">
        <v>47</v>
      </c>
      <c r="L5" s="30" t="s">
        <v>34</v>
      </c>
    </row>
    <row r="6" spans="1:18" ht="53.5" customHeight="1" thickBot="1">
      <c r="B6" s="74"/>
      <c r="C6" s="74"/>
      <c r="D6" s="12" t="s">
        <v>15</v>
      </c>
      <c r="E6" s="6"/>
      <c r="F6" s="12"/>
      <c r="G6" s="6"/>
      <c r="H6" s="6"/>
      <c r="I6" s="6"/>
      <c r="J6" s="12" t="s">
        <v>16</v>
      </c>
      <c r="K6" s="6"/>
      <c r="L6" s="12"/>
      <c r="M6" s="6"/>
      <c r="N6" s="6"/>
      <c r="O6" s="6"/>
      <c r="P6" s="12" t="s">
        <v>24</v>
      </c>
    </row>
    <row r="7" spans="1:18" s="1" customFormat="1" ht="17" thickBot="1">
      <c r="B7" s="17"/>
      <c r="C7" s="52" t="s">
        <v>12</v>
      </c>
      <c r="D7" s="18" t="s">
        <v>5</v>
      </c>
      <c r="E7" s="19" t="s">
        <v>0</v>
      </c>
      <c r="F7" s="8" t="s">
        <v>11</v>
      </c>
      <c r="H7" s="10"/>
      <c r="I7" s="55" t="s">
        <v>13</v>
      </c>
      <c r="J7" s="16" t="s">
        <v>5</v>
      </c>
      <c r="K7" s="13" t="s">
        <v>0</v>
      </c>
      <c r="L7" s="13" t="s">
        <v>10</v>
      </c>
      <c r="N7" s="10"/>
      <c r="O7" s="53" t="s">
        <v>13</v>
      </c>
      <c r="P7" s="16" t="s">
        <v>5</v>
      </c>
      <c r="Q7" s="13" t="s">
        <v>0</v>
      </c>
      <c r="R7" s="13" t="s">
        <v>38</v>
      </c>
    </row>
    <row r="8" spans="1:18" ht="16" customHeight="1" thickTop="1">
      <c r="B8" s="75" t="s">
        <v>7</v>
      </c>
      <c r="C8" s="34" t="s">
        <v>96</v>
      </c>
      <c r="D8" s="35">
        <v>20</v>
      </c>
      <c r="E8" s="35" t="s">
        <v>58</v>
      </c>
      <c r="F8" s="23">
        <f>IF(D8="",IF(C8="","",1),D8)</f>
        <v>20</v>
      </c>
      <c r="H8" s="69" t="s">
        <v>6</v>
      </c>
      <c r="I8" s="56" t="s">
        <v>48</v>
      </c>
      <c r="J8" s="39"/>
      <c r="K8" s="24" t="s">
        <v>49</v>
      </c>
      <c r="L8" s="25">
        <f>IF(J8="",IF(I8="","",1),J8)</f>
        <v>1</v>
      </c>
      <c r="N8" s="69" t="s">
        <v>23</v>
      </c>
      <c r="O8" s="54"/>
      <c r="P8" s="39"/>
      <c r="Q8" s="24"/>
      <c r="R8" s="25" t="str">
        <f>IF(P8="",IF(O8="","",1),P8)</f>
        <v/>
      </c>
    </row>
    <row r="9" spans="1:18" ht="16" customHeight="1">
      <c r="B9" s="75"/>
      <c r="C9" s="34" t="s">
        <v>97</v>
      </c>
      <c r="D9" s="36"/>
      <c r="E9" s="36">
        <v>6</v>
      </c>
      <c r="F9" s="15">
        <f t="shared" ref="F9:F59" si="0">IF(D9="",IF(C9="","",1),D9)</f>
        <v>1</v>
      </c>
      <c r="H9" s="69"/>
      <c r="I9" s="56" t="s">
        <v>50</v>
      </c>
      <c r="J9" s="40"/>
      <c r="K9" s="27" t="s">
        <v>49</v>
      </c>
      <c r="L9" s="25">
        <f t="shared" ref="L9:L59" si="1">IF(J9="",IF(I9="","",1),J9)</f>
        <v>1</v>
      </c>
      <c r="N9" s="69"/>
      <c r="O9" s="38"/>
      <c r="P9" s="40"/>
      <c r="Q9" s="27"/>
      <c r="R9" s="25" t="str">
        <f t="shared" ref="R9:R59" si="2">IF(P9="",IF(O9="","",1),P9)</f>
        <v/>
      </c>
    </row>
    <row r="10" spans="1:18" ht="16" customHeight="1">
      <c r="B10" s="75"/>
      <c r="C10" s="34" t="s">
        <v>98</v>
      </c>
      <c r="D10" s="36"/>
      <c r="E10" s="36" t="s">
        <v>77</v>
      </c>
      <c r="F10" s="15">
        <f t="shared" si="0"/>
        <v>1</v>
      </c>
      <c r="H10" s="69"/>
      <c r="I10" s="56" t="s">
        <v>51</v>
      </c>
      <c r="J10" s="40"/>
      <c r="K10" s="27">
        <v>7</v>
      </c>
      <c r="L10" s="25">
        <f t="shared" si="1"/>
        <v>1</v>
      </c>
      <c r="N10" s="69"/>
      <c r="O10" s="38"/>
      <c r="P10" s="40"/>
      <c r="Q10" s="27"/>
      <c r="R10" s="25" t="str">
        <f t="shared" si="2"/>
        <v/>
      </c>
    </row>
    <row r="11" spans="1:18" ht="16" customHeight="1">
      <c r="B11" s="75"/>
      <c r="C11" s="34" t="s">
        <v>99</v>
      </c>
      <c r="D11" s="36"/>
      <c r="E11" s="36" t="s">
        <v>84</v>
      </c>
      <c r="F11" s="23">
        <f t="shared" si="0"/>
        <v>1</v>
      </c>
      <c r="H11" s="69"/>
      <c r="I11" s="56" t="s">
        <v>52</v>
      </c>
      <c r="J11" s="40"/>
      <c r="K11" s="27" t="s">
        <v>53</v>
      </c>
      <c r="L11" s="25">
        <f t="shared" si="1"/>
        <v>1</v>
      </c>
      <c r="N11" s="69"/>
      <c r="O11" s="38"/>
      <c r="P11" s="40"/>
      <c r="Q11" s="27"/>
      <c r="R11" s="25" t="str">
        <f t="shared" si="2"/>
        <v/>
      </c>
    </row>
    <row r="12" spans="1:18" ht="16" customHeight="1">
      <c r="B12" s="75"/>
      <c r="C12" s="34" t="s">
        <v>100</v>
      </c>
      <c r="D12" s="36">
        <v>2</v>
      </c>
      <c r="E12" s="36" t="s">
        <v>101</v>
      </c>
      <c r="F12" s="15">
        <f t="shared" si="0"/>
        <v>2</v>
      </c>
      <c r="H12" s="69"/>
      <c r="I12" s="56" t="s">
        <v>54</v>
      </c>
      <c r="J12" s="40"/>
      <c r="K12" s="27" t="s">
        <v>53</v>
      </c>
      <c r="L12" s="25">
        <f t="shared" si="1"/>
        <v>1</v>
      </c>
      <c r="N12" s="69"/>
      <c r="O12" s="38"/>
      <c r="P12" s="40"/>
      <c r="Q12" s="27"/>
      <c r="R12" s="14" t="str">
        <f t="shared" si="2"/>
        <v/>
      </c>
    </row>
    <row r="13" spans="1:18" ht="16" customHeight="1">
      <c r="B13" s="75"/>
      <c r="C13" s="34" t="s">
        <v>102</v>
      </c>
      <c r="D13" s="36"/>
      <c r="E13" s="36" t="s">
        <v>103</v>
      </c>
      <c r="F13" s="15">
        <f t="shared" si="0"/>
        <v>1</v>
      </c>
      <c r="H13" s="69"/>
      <c r="I13" s="56" t="s">
        <v>55</v>
      </c>
      <c r="J13" s="40"/>
      <c r="K13" s="27" t="s">
        <v>53</v>
      </c>
      <c r="L13" s="25">
        <f t="shared" si="1"/>
        <v>1</v>
      </c>
      <c r="N13" s="69"/>
      <c r="O13" s="38"/>
      <c r="P13" s="40"/>
      <c r="Q13" s="27"/>
      <c r="R13" s="25" t="str">
        <f t="shared" si="2"/>
        <v/>
      </c>
    </row>
    <row r="14" spans="1:18" ht="16" customHeight="1">
      <c r="B14" s="75"/>
      <c r="C14" s="34" t="s">
        <v>104</v>
      </c>
      <c r="D14" s="36"/>
      <c r="E14" s="36" t="s">
        <v>103</v>
      </c>
      <c r="F14" s="23">
        <f t="shared" si="0"/>
        <v>1</v>
      </c>
      <c r="H14" s="69"/>
      <c r="I14" s="56" t="s">
        <v>56</v>
      </c>
      <c r="J14" s="40"/>
      <c r="K14" s="27" t="s">
        <v>53</v>
      </c>
      <c r="L14" s="25">
        <f t="shared" si="1"/>
        <v>1</v>
      </c>
      <c r="N14" s="69"/>
      <c r="O14" s="38"/>
      <c r="P14" s="40"/>
      <c r="Q14" s="27"/>
      <c r="R14" s="14" t="str">
        <f t="shared" si="2"/>
        <v/>
      </c>
    </row>
    <row r="15" spans="1:18" ht="16" customHeight="1">
      <c r="B15" s="75"/>
      <c r="C15" s="34" t="s">
        <v>105</v>
      </c>
      <c r="D15" s="36"/>
      <c r="E15" s="36" t="s">
        <v>106</v>
      </c>
      <c r="F15" s="15">
        <f t="shared" si="0"/>
        <v>1</v>
      </c>
      <c r="H15" s="69"/>
      <c r="I15" s="56" t="s">
        <v>57</v>
      </c>
      <c r="J15" s="40">
        <v>2</v>
      </c>
      <c r="K15" s="27" t="s">
        <v>58</v>
      </c>
      <c r="L15" s="25">
        <f t="shared" si="1"/>
        <v>2</v>
      </c>
      <c r="N15" s="69"/>
      <c r="O15" s="38"/>
      <c r="P15" s="40"/>
      <c r="Q15" s="27"/>
      <c r="R15" s="25" t="str">
        <f t="shared" si="2"/>
        <v/>
      </c>
    </row>
    <row r="16" spans="1:18" ht="16" customHeight="1">
      <c r="B16" s="75"/>
      <c r="C16" s="34" t="s">
        <v>107</v>
      </c>
      <c r="D16" s="36"/>
      <c r="E16" s="36" t="s">
        <v>108</v>
      </c>
      <c r="F16" s="15">
        <f t="shared" si="0"/>
        <v>1</v>
      </c>
      <c r="H16" s="69"/>
      <c r="I16" s="57" t="s">
        <v>59</v>
      </c>
      <c r="J16" s="40">
        <v>2</v>
      </c>
      <c r="K16" s="27" t="s">
        <v>58</v>
      </c>
      <c r="L16" s="25">
        <f t="shared" si="1"/>
        <v>2</v>
      </c>
      <c r="N16" s="69"/>
      <c r="O16" s="38"/>
      <c r="P16" s="40"/>
      <c r="Q16" s="27"/>
      <c r="R16" s="14" t="str">
        <f t="shared" si="2"/>
        <v/>
      </c>
    </row>
    <row r="17" spans="2:18" ht="16" customHeight="1">
      <c r="B17" s="75"/>
      <c r="C17" s="34" t="s">
        <v>109</v>
      </c>
      <c r="D17" s="36"/>
      <c r="E17" s="36" t="s">
        <v>108</v>
      </c>
      <c r="F17" s="23">
        <f t="shared" si="0"/>
        <v>1</v>
      </c>
      <c r="H17" s="69"/>
      <c r="I17" s="57" t="s">
        <v>60</v>
      </c>
      <c r="J17" s="40">
        <v>2</v>
      </c>
      <c r="K17" s="27" t="s">
        <v>58</v>
      </c>
      <c r="L17" s="25">
        <f t="shared" si="1"/>
        <v>2</v>
      </c>
      <c r="N17" s="69"/>
      <c r="O17" s="38"/>
      <c r="P17" s="40"/>
      <c r="Q17" s="27"/>
      <c r="R17" s="25" t="str">
        <f t="shared" si="2"/>
        <v/>
      </c>
    </row>
    <row r="18" spans="2:18" ht="16" customHeight="1">
      <c r="B18" s="75"/>
      <c r="C18" s="34" t="s">
        <v>110</v>
      </c>
      <c r="D18" s="36"/>
      <c r="E18" s="36" t="s">
        <v>111</v>
      </c>
      <c r="F18" s="15">
        <f t="shared" si="0"/>
        <v>1</v>
      </c>
      <c r="H18" s="69"/>
      <c r="I18" s="57" t="s">
        <v>61</v>
      </c>
      <c r="J18" s="40">
        <v>2</v>
      </c>
      <c r="K18" s="27" t="s">
        <v>58</v>
      </c>
      <c r="L18" s="25">
        <f t="shared" si="1"/>
        <v>2</v>
      </c>
      <c r="N18" s="69"/>
      <c r="O18" s="38"/>
      <c r="P18" s="40"/>
      <c r="Q18" s="27"/>
      <c r="R18" s="14" t="str">
        <f t="shared" si="2"/>
        <v/>
      </c>
    </row>
    <row r="19" spans="2:18" ht="16" customHeight="1">
      <c r="B19" s="75"/>
      <c r="C19" s="34" t="s">
        <v>112</v>
      </c>
      <c r="D19" s="36"/>
      <c r="E19" s="36">
        <v>1</v>
      </c>
      <c r="F19" s="15">
        <f t="shared" si="0"/>
        <v>1</v>
      </c>
      <c r="H19" s="69"/>
      <c r="I19" s="57" t="s">
        <v>62</v>
      </c>
      <c r="J19" s="40">
        <v>2</v>
      </c>
      <c r="K19" s="27" t="s">
        <v>58</v>
      </c>
      <c r="L19" s="25">
        <f t="shared" si="1"/>
        <v>2</v>
      </c>
      <c r="N19" s="69"/>
      <c r="O19" s="38"/>
      <c r="P19" s="40"/>
      <c r="Q19" s="27"/>
      <c r="R19" s="25" t="str">
        <f t="shared" si="2"/>
        <v/>
      </c>
    </row>
    <row r="20" spans="2:18" ht="16" customHeight="1">
      <c r="B20" s="75"/>
      <c r="C20" s="34" t="s">
        <v>113</v>
      </c>
      <c r="D20" s="36"/>
      <c r="E20" s="36">
        <v>5</v>
      </c>
      <c r="F20" s="23">
        <f t="shared" si="0"/>
        <v>1</v>
      </c>
      <c r="H20" s="69"/>
      <c r="I20" s="57" t="s">
        <v>63</v>
      </c>
      <c r="J20" s="40">
        <v>2</v>
      </c>
      <c r="K20" s="27" t="s">
        <v>58</v>
      </c>
      <c r="L20" s="25">
        <f t="shared" si="1"/>
        <v>2</v>
      </c>
      <c r="N20" s="69"/>
      <c r="O20" s="41"/>
      <c r="P20" s="40"/>
      <c r="Q20" s="27"/>
      <c r="R20" s="14" t="str">
        <f t="shared" si="2"/>
        <v/>
      </c>
    </row>
    <row r="21" spans="2:18" ht="16" customHeight="1">
      <c r="B21" s="75"/>
      <c r="C21" s="34" t="s">
        <v>114</v>
      </c>
      <c r="D21" s="36"/>
      <c r="E21" s="36" t="s">
        <v>86</v>
      </c>
      <c r="F21" s="15">
        <f t="shared" si="0"/>
        <v>1</v>
      </c>
      <c r="H21" s="69"/>
      <c r="I21" s="57" t="s">
        <v>64</v>
      </c>
      <c r="J21" s="40">
        <v>2</v>
      </c>
      <c r="K21" s="27" t="s">
        <v>58</v>
      </c>
      <c r="L21" s="25">
        <f t="shared" si="1"/>
        <v>2</v>
      </c>
      <c r="N21" s="69"/>
      <c r="O21" s="41"/>
      <c r="P21" s="40"/>
      <c r="Q21" s="27"/>
      <c r="R21" s="25" t="str">
        <f t="shared" si="2"/>
        <v/>
      </c>
    </row>
    <row r="22" spans="2:18" ht="16" customHeight="1">
      <c r="B22" s="75"/>
      <c r="C22" s="34" t="s">
        <v>115</v>
      </c>
      <c r="D22" s="36"/>
      <c r="E22" s="36" t="s">
        <v>116</v>
      </c>
      <c r="F22" s="15">
        <f t="shared" si="0"/>
        <v>1</v>
      </c>
      <c r="H22" s="69"/>
      <c r="I22" s="57" t="s">
        <v>65</v>
      </c>
      <c r="J22" s="40"/>
      <c r="K22" s="27" t="s">
        <v>58</v>
      </c>
      <c r="L22" s="25">
        <f t="shared" si="1"/>
        <v>1</v>
      </c>
      <c r="N22" s="69"/>
      <c r="O22" s="41"/>
      <c r="P22" s="40"/>
      <c r="Q22" s="27"/>
      <c r="R22" s="25" t="str">
        <f t="shared" si="2"/>
        <v/>
      </c>
    </row>
    <row r="23" spans="2:18" ht="16" customHeight="1">
      <c r="B23" s="75"/>
      <c r="C23" s="34" t="s">
        <v>117</v>
      </c>
      <c r="D23" s="36"/>
      <c r="E23" s="36" t="s">
        <v>75</v>
      </c>
      <c r="F23" s="23">
        <f t="shared" si="0"/>
        <v>1</v>
      </c>
      <c r="H23" s="69"/>
      <c r="I23" s="57" t="s">
        <v>66</v>
      </c>
      <c r="J23" s="40"/>
      <c r="K23" s="27" t="s">
        <v>58</v>
      </c>
      <c r="L23" s="25">
        <f t="shared" si="1"/>
        <v>1</v>
      </c>
      <c r="N23" s="69"/>
      <c r="O23" s="41"/>
      <c r="P23" s="40"/>
      <c r="Q23" s="27"/>
      <c r="R23" s="14" t="str">
        <f t="shared" si="2"/>
        <v/>
      </c>
    </row>
    <row r="24" spans="2:18" ht="16" customHeight="1">
      <c r="B24" s="75"/>
      <c r="C24" s="34" t="s">
        <v>118</v>
      </c>
      <c r="D24" s="36"/>
      <c r="E24" s="36">
        <v>3</v>
      </c>
      <c r="F24" s="15">
        <f t="shared" si="0"/>
        <v>1</v>
      </c>
      <c r="H24" s="69"/>
      <c r="I24" s="57" t="s">
        <v>67</v>
      </c>
      <c r="J24" s="40">
        <v>2</v>
      </c>
      <c r="K24" s="27" t="s">
        <v>58</v>
      </c>
      <c r="L24" s="25">
        <f t="shared" si="1"/>
        <v>2</v>
      </c>
      <c r="N24" s="69"/>
      <c r="O24" s="41"/>
      <c r="P24" s="40"/>
      <c r="Q24" s="27"/>
      <c r="R24" s="25" t="str">
        <f t="shared" si="2"/>
        <v/>
      </c>
    </row>
    <row r="25" spans="2:18" ht="16" customHeight="1">
      <c r="B25" s="75"/>
      <c r="C25" s="34" t="s">
        <v>119</v>
      </c>
      <c r="D25" s="36"/>
      <c r="E25" s="36">
        <v>2</v>
      </c>
      <c r="F25" s="15">
        <f t="shared" si="0"/>
        <v>1</v>
      </c>
      <c r="H25" s="69"/>
      <c r="I25" s="57" t="s">
        <v>68</v>
      </c>
      <c r="J25" s="40">
        <v>2</v>
      </c>
      <c r="K25" s="27" t="s">
        <v>58</v>
      </c>
      <c r="L25" s="25">
        <f t="shared" si="1"/>
        <v>2</v>
      </c>
      <c r="N25" s="69"/>
      <c r="O25" s="41"/>
      <c r="P25" s="40"/>
      <c r="Q25" s="27"/>
      <c r="R25" s="14" t="str">
        <f t="shared" si="2"/>
        <v/>
      </c>
    </row>
    <row r="26" spans="2:18" ht="16" customHeight="1">
      <c r="B26" s="75"/>
      <c r="C26" s="34" t="s">
        <v>120</v>
      </c>
      <c r="D26" s="36"/>
      <c r="E26" s="36" t="s">
        <v>121</v>
      </c>
      <c r="F26" s="23">
        <f t="shared" si="0"/>
        <v>1</v>
      </c>
      <c r="H26" s="69"/>
      <c r="I26" s="57" t="s">
        <v>69</v>
      </c>
      <c r="J26" s="40"/>
      <c r="K26" s="27">
        <v>6</v>
      </c>
      <c r="L26" s="25">
        <f t="shared" si="1"/>
        <v>1</v>
      </c>
      <c r="N26" s="69"/>
      <c r="O26" s="41"/>
      <c r="P26" s="40"/>
      <c r="Q26" s="27"/>
      <c r="R26" s="25" t="str">
        <f t="shared" si="2"/>
        <v/>
      </c>
    </row>
    <row r="27" spans="2:18" ht="16" customHeight="1">
      <c r="B27" s="75"/>
      <c r="C27" s="34" t="s">
        <v>122</v>
      </c>
      <c r="D27" s="36"/>
      <c r="E27" s="36">
        <v>4</v>
      </c>
      <c r="F27" s="15">
        <f t="shared" si="0"/>
        <v>1</v>
      </c>
      <c r="H27" s="69"/>
      <c r="I27" s="57" t="s">
        <v>70</v>
      </c>
      <c r="J27" s="40"/>
      <c r="K27" s="27">
        <v>1</v>
      </c>
      <c r="L27" s="25">
        <f t="shared" si="1"/>
        <v>1</v>
      </c>
      <c r="N27" s="69"/>
      <c r="O27" s="41"/>
      <c r="P27" s="40"/>
      <c r="Q27" s="27"/>
      <c r="R27" s="14" t="str">
        <f t="shared" si="2"/>
        <v/>
      </c>
    </row>
    <row r="28" spans="2:18" ht="16" customHeight="1">
      <c r="B28" s="75"/>
      <c r="C28" s="34" t="s">
        <v>123</v>
      </c>
      <c r="D28" s="36">
        <v>3</v>
      </c>
      <c r="E28" s="26" t="s">
        <v>49</v>
      </c>
      <c r="F28" s="15">
        <f t="shared" si="0"/>
        <v>3</v>
      </c>
      <c r="H28" s="69"/>
      <c r="I28" s="57" t="s">
        <v>71</v>
      </c>
      <c r="J28" s="40"/>
      <c r="K28" s="27">
        <v>3</v>
      </c>
      <c r="L28" s="25">
        <f t="shared" si="1"/>
        <v>1</v>
      </c>
      <c r="N28" s="69"/>
      <c r="O28" s="41"/>
      <c r="P28" s="40"/>
      <c r="Q28" s="27"/>
      <c r="R28" s="25" t="str">
        <f t="shared" si="2"/>
        <v/>
      </c>
    </row>
    <row r="29" spans="2:18" ht="16" customHeight="1">
      <c r="B29" s="75"/>
      <c r="C29" s="34" t="s">
        <v>124</v>
      </c>
      <c r="D29" s="36">
        <v>3</v>
      </c>
      <c r="E29" s="26" t="s">
        <v>49</v>
      </c>
      <c r="F29" s="23">
        <f t="shared" si="0"/>
        <v>3</v>
      </c>
      <c r="H29" s="69"/>
      <c r="I29" s="57" t="s">
        <v>72</v>
      </c>
      <c r="J29" s="40"/>
      <c r="K29" s="27">
        <v>2</v>
      </c>
      <c r="L29" s="25">
        <f t="shared" si="1"/>
        <v>1</v>
      </c>
      <c r="N29" s="69"/>
      <c r="O29" s="41"/>
      <c r="P29" s="40"/>
      <c r="Q29" s="27"/>
      <c r="R29" s="14" t="str">
        <f t="shared" si="2"/>
        <v/>
      </c>
    </row>
    <row r="30" spans="2:18" ht="16" customHeight="1">
      <c r="B30" s="75"/>
      <c r="C30" s="34" t="s">
        <v>125</v>
      </c>
      <c r="D30" s="36">
        <v>21</v>
      </c>
      <c r="E30" s="26" t="s">
        <v>93</v>
      </c>
      <c r="F30" s="15">
        <f t="shared" si="0"/>
        <v>21</v>
      </c>
      <c r="H30" s="69"/>
      <c r="I30" s="57" t="s">
        <v>73</v>
      </c>
      <c r="J30" s="40"/>
      <c r="K30" s="27">
        <v>4</v>
      </c>
      <c r="L30" s="25">
        <f t="shared" si="1"/>
        <v>1</v>
      </c>
      <c r="N30" s="69"/>
      <c r="O30" s="41"/>
      <c r="P30" s="40"/>
      <c r="Q30" s="27"/>
      <c r="R30" s="25" t="str">
        <f t="shared" si="2"/>
        <v/>
      </c>
    </row>
    <row r="31" spans="2:18" ht="16" customHeight="1">
      <c r="B31" s="75"/>
      <c r="C31" s="26"/>
      <c r="D31" s="36"/>
      <c r="E31" s="26"/>
      <c r="F31" s="15" t="str">
        <f t="shared" si="0"/>
        <v/>
      </c>
      <c r="H31" s="69"/>
      <c r="I31" s="57" t="s">
        <v>74</v>
      </c>
      <c r="J31" s="40"/>
      <c r="K31" s="27" t="s">
        <v>75</v>
      </c>
      <c r="L31" s="25">
        <f t="shared" si="1"/>
        <v>1</v>
      </c>
      <c r="N31" s="69"/>
      <c r="O31" s="41"/>
      <c r="P31" s="40"/>
      <c r="Q31" s="27"/>
      <c r="R31" s="14" t="str">
        <f t="shared" si="2"/>
        <v/>
      </c>
    </row>
    <row r="32" spans="2:18" ht="16" customHeight="1">
      <c r="B32" s="75"/>
      <c r="C32" s="26"/>
      <c r="D32" s="36"/>
      <c r="E32" s="26"/>
      <c r="F32" s="23" t="str">
        <f t="shared" si="0"/>
        <v/>
      </c>
      <c r="H32" s="69"/>
      <c r="I32" s="57" t="s">
        <v>76</v>
      </c>
      <c r="J32" s="40"/>
      <c r="K32" s="27" t="s">
        <v>77</v>
      </c>
      <c r="L32" s="25">
        <f t="shared" si="1"/>
        <v>1</v>
      </c>
      <c r="N32" s="69"/>
      <c r="O32" s="41"/>
      <c r="P32" s="40"/>
      <c r="Q32" s="27"/>
      <c r="R32" s="25" t="str">
        <f t="shared" si="2"/>
        <v/>
      </c>
    </row>
    <row r="33" spans="2:18" ht="16" customHeight="1">
      <c r="B33" s="75"/>
      <c r="C33" s="26"/>
      <c r="D33" s="36"/>
      <c r="E33" s="26"/>
      <c r="F33" s="15" t="str">
        <f t="shared" si="0"/>
        <v/>
      </c>
      <c r="H33" s="69"/>
      <c r="I33" s="57" t="s">
        <v>78</v>
      </c>
      <c r="J33" s="40"/>
      <c r="K33" s="27" t="s">
        <v>79</v>
      </c>
      <c r="L33" s="25">
        <f t="shared" si="1"/>
        <v>1</v>
      </c>
      <c r="N33" s="69"/>
      <c r="O33" s="41"/>
      <c r="P33" s="40"/>
      <c r="Q33" s="27"/>
      <c r="R33" s="14" t="str">
        <f t="shared" si="2"/>
        <v/>
      </c>
    </row>
    <row r="34" spans="2:18" ht="16" customHeight="1">
      <c r="B34" s="75"/>
      <c r="C34" s="37"/>
      <c r="D34" s="36"/>
      <c r="E34" s="26"/>
      <c r="F34" s="15" t="str">
        <f t="shared" si="0"/>
        <v/>
      </c>
      <c r="H34" s="69"/>
      <c r="I34" s="57" t="s">
        <v>80</v>
      </c>
      <c r="J34" s="40"/>
      <c r="K34" s="27" t="s">
        <v>79</v>
      </c>
      <c r="L34" s="25">
        <f t="shared" si="1"/>
        <v>1</v>
      </c>
      <c r="N34" s="69"/>
      <c r="O34" s="41"/>
      <c r="P34" s="40"/>
      <c r="Q34" s="27"/>
      <c r="R34" s="25" t="str">
        <f t="shared" si="2"/>
        <v/>
      </c>
    </row>
    <row r="35" spans="2:18" ht="16" customHeight="1">
      <c r="B35" s="75"/>
      <c r="C35" s="37"/>
      <c r="D35" s="36"/>
      <c r="E35" s="26"/>
      <c r="F35" s="23" t="str">
        <f t="shared" si="0"/>
        <v/>
      </c>
      <c r="H35" s="69"/>
      <c r="I35" s="57" t="s">
        <v>81</v>
      </c>
      <c r="J35" s="40"/>
      <c r="K35" s="27" t="s">
        <v>79</v>
      </c>
      <c r="L35" s="25">
        <f t="shared" si="1"/>
        <v>1</v>
      </c>
      <c r="N35" s="69"/>
      <c r="O35" s="41"/>
      <c r="P35" s="40"/>
      <c r="Q35" s="27"/>
      <c r="R35" s="14" t="str">
        <f t="shared" si="2"/>
        <v/>
      </c>
    </row>
    <row r="36" spans="2:18" ht="16" customHeight="1">
      <c r="B36" s="75"/>
      <c r="C36" s="37"/>
      <c r="D36" s="36"/>
      <c r="E36" s="26"/>
      <c r="F36" s="15" t="str">
        <f t="shared" si="0"/>
        <v/>
      </c>
      <c r="H36" s="69"/>
      <c r="I36" s="57" t="s">
        <v>82</v>
      </c>
      <c r="J36" s="40"/>
      <c r="K36" s="27" t="s">
        <v>79</v>
      </c>
      <c r="L36" s="25">
        <f t="shared" si="1"/>
        <v>1</v>
      </c>
      <c r="N36" s="69"/>
      <c r="O36" s="41"/>
      <c r="P36" s="40"/>
      <c r="Q36" s="27"/>
      <c r="R36" s="25" t="str">
        <f t="shared" si="2"/>
        <v/>
      </c>
    </row>
    <row r="37" spans="2:18" ht="16" customHeight="1">
      <c r="B37" s="75"/>
      <c r="C37" s="37"/>
      <c r="D37" s="36"/>
      <c r="E37" s="26"/>
      <c r="F37" s="15" t="str">
        <f t="shared" si="0"/>
        <v/>
      </c>
      <c r="H37" s="69"/>
      <c r="I37" s="57" t="s">
        <v>83</v>
      </c>
      <c r="J37" s="40"/>
      <c r="K37" s="27" t="s">
        <v>84</v>
      </c>
      <c r="L37" s="25">
        <f t="shared" si="1"/>
        <v>1</v>
      </c>
      <c r="N37" s="69"/>
      <c r="O37" s="41"/>
      <c r="P37" s="40"/>
      <c r="Q37" s="27"/>
      <c r="R37" s="14" t="str">
        <f t="shared" si="2"/>
        <v/>
      </c>
    </row>
    <row r="38" spans="2:18" ht="16" customHeight="1">
      <c r="B38" s="75"/>
      <c r="C38" s="37"/>
      <c r="D38" s="36"/>
      <c r="E38" s="26"/>
      <c r="F38" s="23" t="str">
        <f t="shared" si="0"/>
        <v/>
      </c>
      <c r="H38" s="69"/>
      <c r="I38" s="57" t="s">
        <v>85</v>
      </c>
      <c r="J38" s="40"/>
      <c r="K38" s="27" t="s">
        <v>86</v>
      </c>
      <c r="L38" s="25">
        <f t="shared" si="1"/>
        <v>1</v>
      </c>
      <c r="N38" s="69"/>
      <c r="O38" s="41"/>
      <c r="P38" s="40"/>
      <c r="Q38" s="27"/>
      <c r="R38" s="25" t="str">
        <f t="shared" si="2"/>
        <v/>
      </c>
    </row>
    <row r="39" spans="2:18" ht="16" customHeight="1">
      <c r="B39" s="75"/>
      <c r="C39" s="37"/>
      <c r="D39" s="36"/>
      <c r="E39" s="26"/>
      <c r="F39" s="15" t="str">
        <f t="shared" si="0"/>
        <v/>
      </c>
      <c r="H39" s="69"/>
      <c r="I39" s="57" t="s">
        <v>87</v>
      </c>
      <c r="J39" s="40"/>
      <c r="K39" s="27">
        <v>5</v>
      </c>
      <c r="L39" s="25">
        <f t="shared" si="1"/>
        <v>1</v>
      </c>
      <c r="N39" s="69"/>
      <c r="O39" s="41"/>
      <c r="P39" s="40"/>
      <c r="Q39" s="27"/>
      <c r="R39" s="14" t="str">
        <f t="shared" si="2"/>
        <v/>
      </c>
    </row>
    <row r="40" spans="2:18" ht="16" customHeight="1">
      <c r="B40" s="75"/>
      <c r="C40" s="37"/>
      <c r="D40" s="36"/>
      <c r="E40" s="26"/>
      <c r="F40" s="15" t="str">
        <f t="shared" si="0"/>
        <v/>
      </c>
      <c r="H40" s="69"/>
      <c r="I40" s="57" t="s">
        <v>88</v>
      </c>
      <c r="J40" s="40"/>
      <c r="K40" s="27" t="s">
        <v>89</v>
      </c>
      <c r="L40" s="25">
        <f t="shared" si="1"/>
        <v>1</v>
      </c>
      <c r="N40" s="69"/>
      <c r="O40" s="41"/>
      <c r="P40" s="40"/>
      <c r="Q40" s="27"/>
      <c r="R40" s="25" t="str">
        <f t="shared" si="2"/>
        <v/>
      </c>
    </row>
    <row r="41" spans="2:18" ht="16" customHeight="1">
      <c r="B41" s="75"/>
      <c r="C41" s="37"/>
      <c r="D41" s="36"/>
      <c r="E41" s="26"/>
      <c r="F41" s="23" t="str">
        <f t="shared" si="0"/>
        <v/>
      </c>
      <c r="H41" s="69"/>
      <c r="I41" s="57" t="s">
        <v>90</v>
      </c>
      <c r="J41" s="40"/>
      <c r="K41" s="27" t="s">
        <v>49</v>
      </c>
      <c r="L41" s="25">
        <f t="shared" si="1"/>
        <v>1</v>
      </c>
      <c r="N41" s="69"/>
      <c r="O41" s="41"/>
      <c r="P41" s="40"/>
      <c r="Q41" s="27"/>
      <c r="R41" s="14" t="str">
        <f t="shared" si="2"/>
        <v/>
      </c>
    </row>
    <row r="42" spans="2:18" ht="16" customHeight="1">
      <c r="B42" s="75"/>
      <c r="C42" s="37"/>
      <c r="D42" s="36"/>
      <c r="E42" s="26"/>
      <c r="F42" s="15" t="str">
        <f t="shared" si="0"/>
        <v/>
      </c>
      <c r="H42" s="69"/>
      <c r="I42" s="57" t="s">
        <v>91</v>
      </c>
      <c r="J42" s="40"/>
      <c r="K42" s="27" t="s">
        <v>49</v>
      </c>
      <c r="L42" s="25">
        <f t="shared" si="1"/>
        <v>1</v>
      </c>
      <c r="N42" s="69"/>
      <c r="O42" s="42"/>
      <c r="P42" s="40"/>
      <c r="Q42" s="27"/>
      <c r="R42" s="25" t="str">
        <f t="shared" si="2"/>
        <v/>
      </c>
    </row>
    <row r="43" spans="2:18" ht="16" customHeight="1">
      <c r="B43" s="75"/>
      <c r="C43" s="37"/>
      <c r="D43" s="36"/>
      <c r="E43" s="26"/>
      <c r="F43" s="15" t="str">
        <f t="shared" si="0"/>
        <v/>
      </c>
      <c r="H43" s="69"/>
      <c r="I43" s="57" t="s">
        <v>92</v>
      </c>
      <c r="J43" s="40">
        <v>3</v>
      </c>
      <c r="K43" s="27" t="s">
        <v>93</v>
      </c>
      <c r="L43" s="25">
        <f t="shared" si="1"/>
        <v>3</v>
      </c>
      <c r="N43" s="69"/>
      <c r="O43" s="42"/>
      <c r="P43" s="40"/>
      <c r="Q43" s="27"/>
      <c r="R43" s="14" t="str">
        <f t="shared" si="2"/>
        <v/>
      </c>
    </row>
    <row r="44" spans="2:18" ht="16" customHeight="1">
      <c r="B44" s="75"/>
      <c r="C44" s="37"/>
      <c r="D44" s="36"/>
      <c r="E44" s="26"/>
      <c r="F44" s="23" t="str">
        <f t="shared" si="0"/>
        <v/>
      </c>
      <c r="H44" s="69"/>
      <c r="I44" s="58" t="s">
        <v>94</v>
      </c>
      <c r="J44" s="40">
        <v>3</v>
      </c>
      <c r="K44" s="27" t="s">
        <v>93</v>
      </c>
      <c r="L44" s="25">
        <f t="shared" si="1"/>
        <v>3</v>
      </c>
      <c r="N44" s="69"/>
      <c r="O44" s="42"/>
      <c r="P44" s="40"/>
      <c r="Q44" s="27"/>
      <c r="R44" s="25" t="str">
        <f t="shared" si="2"/>
        <v/>
      </c>
    </row>
    <row r="45" spans="2:18" ht="16" customHeight="1">
      <c r="B45" s="75"/>
      <c r="C45" s="37"/>
      <c r="D45" s="36"/>
      <c r="E45" s="26"/>
      <c r="F45" s="15" t="str">
        <f t="shared" si="0"/>
        <v/>
      </c>
      <c r="H45" s="69"/>
      <c r="I45" s="58" t="s">
        <v>95</v>
      </c>
      <c r="J45" s="40">
        <v>3</v>
      </c>
      <c r="K45" s="27" t="s">
        <v>93</v>
      </c>
      <c r="L45" s="25">
        <f t="shared" si="1"/>
        <v>3</v>
      </c>
      <c r="N45" s="69"/>
      <c r="O45" s="42"/>
      <c r="P45" s="40"/>
      <c r="Q45" s="27"/>
      <c r="R45" s="14" t="str">
        <f t="shared" si="2"/>
        <v/>
      </c>
    </row>
    <row r="46" spans="2:18" ht="16" customHeight="1">
      <c r="B46" s="75"/>
      <c r="C46" s="37"/>
      <c r="D46" s="36"/>
      <c r="E46" s="26"/>
      <c r="F46" s="15" t="str">
        <f t="shared" si="0"/>
        <v/>
      </c>
      <c r="H46" s="69"/>
      <c r="I46" s="42"/>
      <c r="J46" s="40"/>
      <c r="K46" s="27"/>
      <c r="L46" s="25" t="str">
        <f t="shared" si="1"/>
        <v/>
      </c>
      <c r="N46" s="69"/>
      <c r="O46" s="42"/>
      <c r="P46" s="40"/>
      <c r="Q46" s="27"/>
      <c r="R46" s="25" t="str">
        <f t="shared" si="2"/>
        <v/>
      </c>
    </row>
    <row r="47" spans="2:18" ht="16" customHeight="1">
      <c r="B47" s="75"/>
      <c r="C47" s="37"/>
      <c r="D47" s="36"/>
      <c r="E47" s="26"/>
      <c r="F47" s="23" t="str">
        <f t="shared" si="0"/>
        <v/>
      </c>
      <c r="H47" s="69"/>
      <c r="I47" s="51"/>
      <c r="J47" s="40"/>
      <c r="K47" s="27"/>
      <c r="L47" s="25" t="str">
        <f t="shared" si="1"/>
        <v/>
      </c>
      <c r="N47" s="69"/>
      <c r="O47" s="42"/>
      <c r="P47" s="40"/>
      <c r="Q47" s="27"/>
      <c r="R47" s="14" t="str">
        <f t="shared" si="2"/>
        <v/>
      </c>
    </row>
    <row r="48" spans="2:18" ht="16" customHeight="1">
      <c r="B48" s="75"/>
      <c r="C48" s="37"/>
      <c r="D48" s="36"/>
      <c r="E48" s="26"/>
      <c r="F48" s="15" t="str">
        <f t="shared" si="0"/>
        <v/>
      </c>
      <c r="H48" s="69"/>
      <c r="I48" s="51"/>
      <c r="J48" s="40"/>
      <c r="K48" s="27"/>
      <c r="L48" s="25" t="str">
        <f t="shared" si="1"/>
        <v/>
      </c>
      <c r="N48" s="69"/>
      <c r="O48" s="42"/>
      <c r="P48" s="40"/>
      <c r="Q48" s="27"/>
      <c r="R48" s="25"/>
    </row>
    <row r="49" spans="2:18" ht="16" customHeight="1">
      <c r="B49" s="75"/>
      <c r="C49" s="37"/>
      <c r="D49" s="36"/>
      <c r="E49" s="26"/>
      <c r="F49" s="15" t="str">
        <f t="shared" si="0"/>
        <v/>
      </c>
      <c r="H49" s="69"/>
      <c r="I49" s="51"/>
      <c r="J49" s="40"/>
      <c r="K49" s="27"/>
      <c r="L49" s="25" t="str">
        <f t="shared" si="1"/>
        <v/>
      </c>
      <c r="N49" s="69"/>
      <c r="O49" s="42"/>
      <c r="P49" s="40"/>
      <c r="Q49" s="27"/>
      <c r="R49" s="25"/>
    </row>
    <row r="50" spans="2:18" ht="16" customHeight="1">
      <c r="B50" s="75"/>
      <c r="C50" s="37"/>
      <c r="D50" s="36"/>
      <c r="E50" s="26"/>
      <c r="F50" s="23" t="str">
        <f t="shared" si="0"/>
        <v/>
      </c>
      <c r="H50" s="69"/>
      <c r="I50" s="51"/>
      <c r="J50" s="40"/>
      <c r="K50" s="27"/>
      <c r="L50" s="25" t="str">
        <f t="shared" si="1"/>
        <v/>
      </c>
      <c r="N50" s="69"/>
      <c r="O50" s="42"/>
      <c r="P50" s="40"/>
      <c r="Q50" s="27"/>
      <c r="R50" s="25"/>
    </row>
    <row r="51" spans="2:18" ht="16" customHeight="1">
      <c r="B51" s="75"/>
      <c r="C51" s="37"/>
      <c r="D51" s="36"/>
      <c r="E51" s="26"/>
      <c r="F51" s="15" t="str">
        <f t="shared" si="0"/>
        <v/>
      </c>
      <c r="H51" s="69"/>
      <c r="I51" s="59"/>
      <c r="J51" s="30"/>
      <c r="K51" s="20"/>
      <c r="L51" s="25" t="str">
        <f t="shared" si="1"/>
        <v/>
      </c>
      <c r="N51" s="69"/>
      <c r="O51" s="42"/>
      <c r="P51" s="40"/>
      <c r="Q51" s="27"/>
      <c r="R51" s="25"/>
    </row>
    <row r="52" spans="2:18" ht="16" customHeight="1">
      <c r="B52" s="75"/>
      <c r="C52" s="37"/>
      <c r="D52" s="36"/>
      <c r="E52" s="26"/>
      <c r="F52" s="15" t="str">
        <f t="shared" si="0"/>
        <v/>
      </c>
      <c r="H52" s="69"/>
      <c r="I52" s="59"/>
      <c r="J52" s="40"/>
      <c r="K52" s="27"/>
      <c r="L52" s="25" t="str">
        <f t="shared" si="1"/>
        <v/>
      </c>
      <c r="N52" s="69"/>
      <c r="O52" s="42"/>
      <c r="P52" s="40"/>
      <c r="Q52" s="27"/>
      <c r="R52" s="25"/>
    </row>
    <row r="53" spans="2:18" ht="16" customHeight="1">
      <c r="B53" s="75"/>
      <c r="C53" s="37"/>
      <c r="D53" s="36"/>
      <c r="E53" s="26"/>
      <c r="F53" s="23" t="str">
        <f t="shared" si="0"/>
        <v/>
      </c>
      <c r="H53" s="69"/>
      <c r="I53" s="59"/>
      <c r="J53" s="40"/>
      <c r="K53" s="27"/>
      <c r="L53" s="25" t="str">
        <f t="shared" si="1"/>
        <v/>
      </c>
      <c r="N53" s="69"/>
      <c r="O53" s="42"/>
      <c r="P53" s="40"/>
      <c r="Q53" s="27"/>
      <c r="R53" s="25"/>
    </row>
    <row r="54" spans="2:18" ht="16" customHeight="1">
      <c r="B54" s="75"/>
      <c r="C54" s="37"/>
      <c r="D54" s="36"/>
      <c r="E54" s="26"/>
      <c r="F54" s="15" t="str">
        <f t="shared" si="0"/>
        <v/>
      </c>
      <c r="H54" s="69"/>
      <c r="I54" s="59"/>
      <c r="J54" s="40"/>
      <c r="K54" s="27"/>
      <c r="L54" s="25" t="str">
        <f t="shared" si="1"/>
        <v/>
      </c>
      <c r="N54" s="69"/>
      <c r="O54" s="42"/>
      <c r="P54" s="40"/>
      <c r="Q54" s="27"/>
      <c r="R54" s="25"/>
    </row>
    <row r="55" spans="2:18" ht="16" customHeight="1">
      <c r="B55" s="75"/>
      <c r="C55" s="37"/>
      <c r="D55" s="36"/>
      <c r="E55" s="26"/>
      <c r="F55" s="15" t="str">
        <f t="shared" si="0"/>
        <v/>
      </c>
      <c r="H55" s="69"/>
      <c r="I55" s="59"/>
      <c r="J55" s="40"/>
      <c r="K55" s="27"/>
      <c r="L55" s="25" t="str">
        <f t="shared" si="1"/>
        <v/>
      </c>
      <c r="N55" s="69"/>
      <c r="O55" s="42"/>
      <c r="P55" s="40"/>
      <c r="Q55" s="27"/>
      <c r="R55" s="25"/>
    </row>
    <row r="56" spans="2:18" ht="16" customHeight="1">
      <c r="B56" s="75"/>
      <c r="C56" s="37"/>
      <c r="D56" s="36"/>
      <c r="E56" s="26"/>
      <c r="F56" s="23" t="str">
        <f t="shared" si="0"/>
        <v/>
      </c>
      <c r="H56" s="69"/>
      <c r="I56" s="59"/>
      <c r="J56" s="40"/>
      <c r="K56" s="27"/>
      <c r="L56" s="25" t="str">
        <f t="shared" si="1"/>
        <v/>
      </c>
      <c r="N56" s="69"/>
      <c r="O56" s="42"/>
      <c r="P56" s="40"/>
      <c r="Q56" s="27"/>
      <c r="R56" s="25"/>
    </row>
    <row r="57" spans="2:18" ht="16" customHeight="1">
      <c r="B57" s="75"/>
      <c r="C57" s="37"/>
      <c r="D57" s="36"/>
      <c r="E57" s="26"/>
      <c r="F57" s="15" t="str">
        <f t="shared" si="0"/>
        <v/>
      </c>
      <c r="H57" s="69"/>
      <c r="I57" s="59"/>
      <c r="J57" s="40"/>
      <c r="K57" s="27"/>
      <c r="L57" s="25" t="str">
        <f t="shared" si="1"/>
        <v/>
      </c>
      <c r="N57" s="69"/>
      <c r="O57" s="42"/>
      <c r="P57" s="40"/>
      <c r="Q57" s="27"/>
      <c r="R57" s="25"/>
    </row>
    <row r="58" spans="2:18" ht="16" customHeight="1">
      <c r="B58" s="75"/>
      <c r="C58" s="37"/>
      <c r="D58" s="36"/>
      <c r="E58" s="26"/>
      <c r="F58" s="15" t="str">
        <f t="shared" si="0"/>
        <v/>
      </c>
      <c r="H58" s="69"/>
      <c r="I58" s="59"/>
      <c r="J58" s="40"/>
      <c r="K58" s="27"/>
      <c r="L58" s="25" t="str">
        <f t="shared" si="1"/>
        <v/>
      </c>
      <c r="N58" s="69"/>
      <c r="O58" s="42"/>
      <c r="P58" s="40"/>
      <c r="Q58" s="27"/>
      <c r="R58" s="25" t="str">
        <f t="shared" si="2"/>
        <v/>
      </c>
    </row>
    <row r="59" spans="2:18" ht="16" customHeight="1">
      <c r="B59" s="75"/>
      <c r="C59" s="37"/>
      <c r="D59" s="36"/>
      <c r="E59" s="26"/>
      <c r="F59" s="23" t="str">
        <f t="shared" si="0"/>
        <v/>
      </c>
      <c r="H59" s="69"/>
      <c r="I59" s="59"/>
      <c r="J59" s="40"/>
      <c r="K59" s="27"/>
      <c r="L59" s="25" t="str">
        <f t="shared" si="1"/>
        <v/>
      </c>
      <c r="N59" s="69"/>
      <c r="O59" s="42"/>
      <c r="P59" s="40"/>
      <c r="Q59" s="27"/>
      <c r="R59" s="14" t="str">
        <f t="shared" si="2"/>
        <v/>
      </c>
    </row>
    <row r="60" spans="2:18" ht="16" customHeight="1" thickBot="1">
      <c r="B60" s="76"/>
      <c r="C60" s="77" t="s">
        <v>8</v>
      </c>
      <c r="D60" s="78"/>
      <c r="E60" s="79"/>
      <c r="F60" s="28">
        <f>SUM(F8:F59)</f>
        <v>67</v>
      </c>
      <c r="H60" s="69"/>
      <c r="I60" s="70" t="s">
        <v>9</v>
      </c>
      <c r="J60" s="71"/>
      <c r="K60" s="72"/>
      <c r="L60" s="11">
        <f>SUM(L8:L59)</f>
        <v>53</v>
      </c>
      <c r="N60" s="69"/>
      <c r="O60" s="70" t="s">
        <v>37</v>
      </c>
      <c r="P60" s="71"/>
      <c r="Q60" s="72"/>
      <c r="R60" s="11">
        <f>SUM(R8:R59)</f>
        <v>0</v>
      </c>
    </row>
    <row r="61" spans="2:18" ht="16" thickBot="1">
      <c r="D61" s="21" t="s">
        <v>22</v>
      </c>
      <c r="E61" s="48"/>
      <c r="F61" s="22">
        <f>F60+E61</f>
        <v>67</v>
      </c>
    </row>
  </sheetData>
  <sheetProtection formatCells="0" formatColumns="0" formatRows="0"/>
  <mergeCells count="10">
    <mergeCell ref="N8:N60"/>
    <mergeCell ref="O60:Q60"/>
    <mergeCell ref="H2:H3"/>
    <mergeCell ref="B6:C6"/>
    <mergeCell ref="B8:B60"/>
    <mergeCell ref="H8:H60"/>
    <mergeCell ref="I60:K60"/>
    <mergeCell ref="C60:E60"/>
    <mergeCell ref="K2:L2"/>
    <mergeCell ref="A1:C5"/>
  </mergeCells>
  <phoneticPr fontId="1"/>
  <conditionalFormatting sqref="D7:E7">
    <cfRule type="notContainsBlanks" dxfId="17" priority="13">
      <formula>LEN(TRIM(D7))&gt;0</formula>
    </cfRule>
  </conditionalFormatting>
  <conditionalFormatting sqref="E2:F2">
    <cfRule type="notContainsBlanks" dxfId="16" priority="11">
      <formula>LEN(TRIM(E2))&gt;0</formula>
    </cfRule>
  </conditionalFormatting>
  <conditionalFormatting sqref="E4:F4">
    <cfRule type="notContainsBlanks" dxfId="15" priority="3">
      <formula>LEN(TRIM(E4))&gt;0</formula>
    </cfRule>
  </conditionalFormatting>
  <conditionalFormatting sqref="F7:F59 L8:L60">
    <cfRule type="notContainsBlanks" dxfId="14" priority="33">
      <formula>LEN(TRIM(F7))&gt;0</formula>
    </cfRule>
  </conditionalFormatting>
  <conditionalFormatting sqref="F60:F1048576">
    <cfRule type="notContainsBlanks" dxfId="13" priority="20">
      <formula>LEN(TRIM(F60))&gt;0</formula>
    </cfRule>
  </conditionalFormatting>
  <conditionalFormatting sqref="H8 N8 A7:C7 E7:L7 N7:XFD7">
    <cfRule type="notContainsBlanks" dxfId="12" priority="32">
      <formula>LEN(TRIM(A7))&gt;0</formula>
    </cfRule>
  </conditionalFormatting>
  <conditionalFormatting sqref="H8">
    <cfRule type="notContainsBlanks" dxfId="11" priority="27">
      <formula>LEN(TRIM(H8))&gt;0</formula>
    </cfRule>
    <cfRule type="notContainsBlanks" dxfId="10" priority="28">
      <formula>LEN(TRIM(H8))&gt;0</formula>
    </cfRule>
  </conditionalFormatting>
  <conditionalFormatting sqref="H4:J4">
    <cfRule type="notContainsBlanks" dxfId="9" priority="1">
      <formula>LEN(TRIM(H4))&gt;0</formula>
    </cfRule>
  </conditionalFormatting>
  <conditionalFormatting sqref="H2:K2 B6:B1048576">
    <cfRule type="notContainsBlanks" dxfId="8" priority="19">
      <formula>LEN(TRIM(B2))&gt;0</formula>
    </cfRule>
  </conditionalFormatting>
  <conditionalFormatting sqref="K3:L3">
    <cfRule type="notContainsBlanks" dxfId="7" priority="2">
      <formula>LEN(TRIM(K3))&gt;0</formula>
    </cfRule>
  </conditionalFormatting>
  <conditionalFormatting sqref="N8">
    <cfRule type="notContainsBlanks" dxfId="6" priority="8">
      <formula>LEN(TRIM(N8))&gt;0</formula>
    </cfRule>
    <cfRule type="notContainsBlanks" dxfId="5" priority="9">
      <formula>LEN(TRIM(N8))&gt;0</formula>
    </cfRule>
  </conditionalFormatting>
  <conditionalFormatting sqref="R8:R60">
    <cfRule type="notContainsBlanks" dxfId="4" priority="10">
      <formula>LEN(TRIM(R8))&gt;0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6B27-4E1E-46EF-8EC2-44E98347BDBF}">
  <sheetPr codeName="Sheet2"/>
  <dimension ref="B1:O107"/>
  <sheetViews>
    <sheetView tabSelected="1" topLeftCell="A37" zoomScale="139" workbookViewId="0">
      <selection activeCell="C47" sqref="C47:C98"/>
    </sheetView>
  </sheetViews>
  <sheetFormatPr baseColWidth="10" defaultColWidth="8.83203125" defaultRowHeight="15"/>
  <cols>
    <col min="2" max="2" width="10.83203125" customWidth="1"/>
    <col min="3" max="3" width="30.5" customWidth="1"/>
    <col min="4" max="6" width="9.33203125" customWidth="1"/>
    <col min="7" max="7" width="8" customWidth="1"/>
    <col min="13" max="16" width="10.6640625" customWidth="1"/>
  </cols>
  <sheetData>
    <row r="1" spans="2:15" ht="16" thickBot="1"/>
    <row r="2" spans="2:15" ht="16" thickBot="1">
      <c r="B2" s="7"/>
      <c r="C2" s="60" t="s">
        <v>14</v>
      </c>
    </row>
    <row r="3" spans="2:15" ht="17" thickTop="1" thickBot="1">
      <c r="B3" s="61" t="s">
        <v>17</v>
      </c>
      <c r="C3" s="83" t="str">
        <f>"1H NMR (500 MHz, "&amp;記入用!E5&amp;")"</f>
        <v>1H NMR (500 MHz, CDCl3)</v>
      </c>
      <c r="N3" t="str">
        <f>C3</f>
        <v>1H NMR (500 MHz, CDCl3)</v>
      </c>
      <c r="O3" t="str" cm="1">
        <f t="array" ref="O3">": δ "&amp;_xlfn.TEXTJOIN(", ", TRUE, _xlfn._xlws.FILTER(C4:C45, C4:C45&lt;&gt;""))&amp;"."</f>
        <v>: δ 7.38–7.26 (m, 20H), 5.14 (dd, J = 34.3, 8.5 Hz, 1H), 5.11 (dd, J = 9.2, 9.0 Hz, 1H), 4.99 (ddd,  J = 10.3, 9.2, 5.6 Hz, 1H), 4.94 (m, 2H), 4.89 (d, J = 10.8 Hz, 1H), 4.82 (d, J = 10.8 Hz, 1H), 4.73 (d, J = 11.0 Hz, 1H), 4.72 (d, J = 10.2 Hz, 1H), 4.69 (d, J = 10.2 Hz, 1H), 4.59 (d, J = 11.8 Hz, 1H), 4.56 (d, J = 7.8 Hz, 1H), 4.34 (dd, J = 9.2, 8.5 Hz, 1H), 4.21 (dd, J = 9.1, 9.0 Hz, 1H), 4.07 (dd, J = 11.1, 5.6 Hz, 1H), 3.73 (dd, J = 24.2, 9.1 Hz, 1H), 3.68 (dd, J = 9.3, 9.1 Hz, 1H), 3.50 (dd, J = 9.2, 7.8 Hz, 1H), 3.42 (dd, J = 11.1, 10.3 Hz, 1H), 3.37 (dd, J = 9.2, 9.1 Hz, 1H), 2.09 (s, 3H), 2.04 (s, 3H), 1.11–1.07 (m, 21H).</v>
      </c>
    </row>
    <row r="4" spans="2:15" ht="17" thickTop="1" thickBot="1">
      <c r="B4" s="62"/>
      <c r="C4" s="84" t="str">
        <f>IF(記入用!C8="","",記入用!C8)</f>
        <v>7.38–7.26 (m, 20H)</v>
      </c>
      <c r="N4" t="str">
        <f>C46</f>
        <v>13C{1H} NMR (126 MHz, CDCl3)</v>
      </c>
      <c r="O4" t="str">
        <f>": δ "&amp;_xlfn.TEXTJOIN(", ", TRUE, _xlfn.BYROW(C47:C98, _xlfn.LAMBDA(_xlpm.r, _xlfn.TEXTJOIN("", TRUE, _xlpm.r))))&amp;"."</f>
        <v>: δ 170.29, 170.22, 156.57, 138.67, 138.48, 137.88, 137.33, 128.96 (2C), 128.59 (2C), 128.51 (2C), 128.45 (2C), 128.42 (2C), 128.22 (2C), 128.06 (2C), 128.00, 127.98, 127.96 (2C), 127.77 (2C), 111.37, 102.73, 84.29, 82.20, 81.55, 81.10, 77.08, 76.08, 75.60, 75.09, 71.44, 69.76, 69.39, 69.21, 66.89, 21.27, 20.90, 18.35 (3C), 18.18 (3C), 13.39 (3C).</v>
      </c>
    </row>
    <row r="5" spans="2:15" ht="17" thickTop="1" thickBot="1">
      <c r="B5" s="63"/>
      <c r="C5" s="85" t="str">
        <f>IF(記入用!C9="","",記入用!C9)</f>
        <v>5.14 (dd, J = 34.3, 8.5 Hz, 1H)</v>
      </c>
      <c r="N5" s="50" t="str">
        <f>C99</f>
        <v>19F NMR (476 MHz, CDCl3)</v>
      </c>
      <c r="O5" t="e" cm="1" vm="1">
        <f t="array" ref="O5">": δ "&amp;_xlfn.TEXTJOIN(", ", TRUE, _xlfn._xlws.FILTER(C100:C104, C100:C104&lt;&gt;""))&amp;"."</f>
        <v>#VALUE!</v>
      </c>
    </row>
    <row r="6" spans="2:15" ht="17" thickTop="1" thickBot="1">
      <c r="B6" s="63"/>
      <c r="C6" s="85" t="str">
        <f>IF(記入用!C10="","",記入用!C10)</f>
        <v>5.11 (dd, J = 9.2, 9.0 Hz, 1H)</v>
      </c>
      <c r="N6" t="str">
        <f>"HRMS("&amp;記入用!H5&amp;")"</f>
        <v>HRMS(ESI)</v>
      </c>
      <c r="O6" s="49" t="str">
        <f>": m/z ["&amp;記入用!I5&amp;"]+ calcd for "&amp;記入用!I3&amp;" "&amp;記入用!J3&amp;", found "&amp;記入用!J5&amp;"."</f>
        <v>: m/z [M+Na]+ calcd for C42H65FO9 755.4510, found 755.4496.</v>
      </c>
    </row>
    <row r="7" spans="2:15" ht="17" thickTop="1" thickBot="1">
      <c r="B7" s="63"/>
      <c r="C7" s="85" t="str">
        <f>IF(記入用!C11="","",記入用!C11)</f>
        <v>4.99 (ddd,  J = 10.3, 9.2, 5.6 Hz, 1H)</v>
      </c>
      <c r="N7" t="str">
        <f>"[α]D"&amp;記入用!L5</f>
        <v>[α]D29</v>
      </c>
      <c r="O7" s="49" t="str">
        <f>" "&amp;記入用!K4&amp;" (c = "&amp;記入用!K5&amp;", "&amp;記入用!L4&amp;")"&amp;"."</f>
        <v xml:space="preserve"> -29.5 (c = 0.25, CHCl3).</v>
      </c>
    </row>
    <row r="8" spans="2:15" ht="17" thickTop="1" thickBot="1">
      <c r="B8" s="63"/>
      <c r="C8" s="85" t="str">
        <f>IF(記入用!C12="","",記入用!C12)</f>
        <v>4.94 (m, 2H)</v>
      </c>
    </row>
    <row r="9" spans="2:15" ht="17" thickTop="1" thickBot="1">
      <c r="B9" s="63"/>
      <c r="C9" s="85" t="str">
        <f>IF(記入用!C13="","",記入用!C13)</f>
        <v>4.89 (d, J = 10.8 Hz, 1H)</v>
      </c>
    </row>
    <row r="10" spans="2:15" ht="17" thickTop="1" thickBot="1">
      <c r="B10" s="63"/>
      <c r="C10" s="85" t="str">
        <f>IF(記入用!C14="","",記入用!C14)</f>
        <v>4.82 (d, J = 10.8 Hz, 1H)</v>
      </c>
    </row>
    <row r="11" spans="2:15" ht="17" thickTop="1" thickBot="1">
      <c r="B11" s="63"/>
      <c r="C11" s="85" t="str">
        <f>IF(記入用!C15="","",記入用!C15)</f>
        <v>4.73 (d, J = 11.0 Hz, 1H)</v>
      </c>
    </row>
    <row r="12" spans="2:15" ht="17" thickTop="1" thickBot="1">
      <c r="B12" s="63"/>
      <c r="C12" s="85" t="str">
        <f>IF(記入用!C16="","",記入用!C16)</f>
        <v>4.72 (d, J = 10.2 Hz, 1H)</v>
      </c>
    </row>
    <row r="13" spans="2:15" ht="17" thickTop="1" thickBot="1">
      <c r="B13" s="63"/>
      <c r="C13" s="85" t="str">
        <f>IF(記入用!C17="","",記入用!C17)</f>
        <v>4.69 (d, J = 10.2 Hz, 1H)</v>
      </c>
    </row>
    <row r="14" spans="2:15" ht="17" thickTop="1" thickBot="1">
      <c r="B14" s="63"/>
      <c r="C14" s="85" t="str">
        <f>IF(記入用!C18="","",記入用!C18)</f>
        <v>4.59 (d, J = 11.8 Hz, 1H)</v>
      </c>
    </row>
    <row r="15" spans="2:15" ht="17" thickTop="1" thickBot="1">
      <c r="B15" s="63"/>
      <c r="C15" s="85" t="str">
        <f>IF(記入用!C19="","",記入用!C19)</f>
        <v>4.56 (d, J = 7.8 Hz, 1H)</v>
      </c>
    </row>
    <row r="16" spans="2:15" ht="17" thickTop="1" thickBot="1">
      <c r="B16" s="63"/>
      <c r="C16" s="85" t="str">
        <f>IF(記入用!C20="","",記入用!C20)</f>
        <v>4.34 (dd, J = 9.2, 8.5 Hz, 1H)</v>
      </c>
    </row>
    <row r="17" spans="2:3" ht="17" thickTop="1" thickBot="1">
      <c r="B17" s="63"/>
      <c r="C17" s="85" t="str">
        <f>IF(記入用!C21="","",記入用!C21)</f>
        <v>4.21 (dd, J = 9.1, 9.0 Hz, 1H)</v>
      </c>
    </row>
    <row r="18" spans="2:3" ht="17" thickTop="1" thickBot="1">
      <c r="B18" s="63"/>
      <c r="C18" s="85" t="str">
        <f>IF(記入用!C22="","",記入用!C22)</f>
        <v>4.07 (dd, J = 11.1, 5.6 Hz, 1H)</v>
      </c>
    </row>
    <row r="19" spans="2:3" ht="17" thickTop="1" thickBot="1">
      <c r="B19" s="63"/>
      <c r="C19" s="85" t="str">
        <f>IF(記入用!C23="","",記入用!C23)</f>
        <v>3.73 (dd, J = 24.2, 9.1 Hz, 1H)</v>
      </c>
    </row>
    <row r="20" spans="2:3" ht="17" thickTop="1" thickBot="1">
      <c r="B20" s="63"/>
      <c r="C20" s="85" t="str">
        <f>IF(記入用!C24="","",記入用!C24)</f>
        <v>3.68 (dd, J = 9.3, 9.1 Hz, 1H)</v>
      </c>
    </row>
    <row r="21" spans="2:3" ht="17" thickTop="1" thickBot="1">
      <c r="B21" s="63"/>
      <c r="C21" s="85" t="str">
        <f>IF(記入用!C25="","",記入用!C25)</f>
        <v>3.50 (dd, J = 9.2, 7.8 Hz, 1H)</v>
      </c>
    </row>
    <row r="22" spans="2:3" ht="17" thickTop="1" thickBot="1">
      <c r="B22" s="63"/>
      <c r="C22" s="85" t="str">
        <f>IF(記入用!C26="","",記入用!C26)</f>
        <v>3.42 (dd, J = 11.1, 10.3 Hz, 1H)</v>
      </c>
    </row>
    <row r="23" spans="2:3" ht="17" thickTop="1" thickBot="1">
      <c r="B23" s="63"/>
      <c r="C23" s="85" t="str">
        <f>IF(記入用!C27="","",記入用!C27)</f>
        <v>3.37 (dd, J = 9.2, 9.1 Hz, 1H)</v>
      </c>
    </row>
    <row r="24" spans="2:3" ht="17" thickTop="1" thickBot="1">
      <c r="B24" s="63"/>
      <c r="C24" s="85" t="str">
        <f>IF(記入用!C28="","",記入用!C28)</f>
        <v>2.09 (s, 3H)</v>
      </c>
    </row>
    <row r="25" spans="2:3" ht="17" thickTop="1" thickBot="1">
      <c r="B25" s="63"/>
      <c r="C25" s="85" t="str">
        <f>IF(記入用!C29="","",記入用!C29)</f>
        <v>2.04 (s, 3H)</v>
      </c>
    </row>
    <row r="26" spans="2:3" ht="17" thickTop="1" thickBot="1">
      <c r="B26" s="63"/>
      <c r="C26" s="85" t="str">
        <f>IF(記入用!C30="","",記入用!C30)</f>
        <v>1.11–1.07 (m, 21H)</v>
      </c>
    </row>
    <row r="27" spans="2:3" ht="17" thickTop="1" thickBot="1">
      <c r="B27" s="63"/>
      <c r="C27" s="85" t="str">
        <f>IF(記入用!C31="","",記入用!C31)</f>
        <v/>
      </c>
    </row>
    <row r="28" spans="2:3" ht="17" thickTop="1" thickBot="1">
      <c r="B28" s="63"/>
      <c r="C28" s="85" t="str">
        <f>IF(記入用!C32="","",記入用!C32)</f>
        <v/>
      </c>
    </row>
    <row r="29" spans="2:3" ht="17" thickTop="1" thickBot="1">
      <c r="B29" s="63"/>
      <c r="C29" s="85" t="str">
        <f>IF(記入用!C33="","",記入用!C33)</f>
        <v/>
      </c>
    </row>
    <row r="30" spans="2:3" ht="17" thickTop="1" thickBot="1">
      <c r="B30" s="63"/>
      <c r="C30" s="85" t="str">
        <f>IF(記入用!C34="","",記入用!C34)</f>
        <v/>
      </c>
    </row>
    <row r="31" spans="2:3" ht="17" thickTop="1" thickBot="1">
      <c r="B31" s="63"/>
      <c r="C31" s="85" t="str">
        <f>IF(記入用!C35="","",記入用!C35)</f>
        <v/>
      </c>
    </row>
    <row r="32" spans="2:3" ht="17" thickTop="1" thickBot="1">
      <c r="B32" s="63"/>
      <c r="C32" s="85" t="str">
        <f>IF(記入用!C36="","",記入用!C36)</f>
        <v/>
      </c>
    </row>
    <row r="33" spans="2:3" ht="17" thickTop="1" thickBot="1">
      <c r="B33" s="63"/>
      <c r="C33" s="85" t="str">
        <f>IF(記入用!C37="","",記入用!C37)</f>
        <v/>
      </c>
    </row>
    <row r="34" spans="2:3" ht="17" thickTop="1" thickBot="1">
      <c r="B34" s="63"/>
      <c r="C34" s="85" t="str">
        <f>IF(記入用!C38="","",記入用!C38)</f>
        <v/>
      </c>
    </row>
    <row r="35" spans="2:3" ht="17" thickTop="1" thickBot="1">
      <c r="B35" s="63"/>
      <c r="C35" s="85" t="str">
        <f>IF(記入用!C39="","",記入用!C39)</f>
        <v/>
      </c>
    </row>
    <row r="36" spans="2:3" ht="17" thickTop="1" thickBot="1">
      <c r="B36" s="63"/>
      <c r="C36" s="85" t="str">
        <f>IF(記入用!C40="","",記入用!C40)</f>
        <v/>
      </c>
    </row>
    <row r="37" spans="2:3" ht="17" thickTop="1" thickBot="1">
      <c r="B37" s="63"/>
      <c r="C37" s="85" t="str">
        <f>IF(記入用!C41="","",記入用!C41)</f>
        <v/>
      </c>
    </row>
    <row r="38" spans="2:3" ht="17" thickTop="1" thickBot="1">
      <c r="B38" s="63"/>
      <c r="C38" s="85" t="str">
        <f>IF(記入用!C42="","",記入用!C42)</f>
        <v/>
      </c>
    </row>
    <row r="39" spans="2:3" ht="17" thickTop="1" thickBot="1">
      <c r="B39" s="63"/>
      <c r="C39" s="85" t="str">
        <f>IF(記入用!C43="","",記入用!C43)</f>
        <v/>
      </c>
    </row>
    <row r="40" spans="2:3" ht="17" thickTop="1" thickBot="1">
      <c r="B40" s="63"/>
      <c r="C40" s="85" t="str">
        <f>IF(記入用!C44="","",記入用!C44)</f>
        <v/>
      </c>
    </row>
    <row r="41" spans="2:3" ht="17" thickTop="1" thickBot="1">
      <c r="B41" s="63"/>
      <c r="C41" s="85" t="str">
        <f>IF(記入用!C45="","",記入用!C45)</f>
        <v/>
      </c>
    </row>
    <row r="42" spans="2:3" ht="17" thickTop="1" thickBot="1">
      <c r="B42" s="63"/>
      <c r="C42" s="85" t="str">
        <f>IF(記入用!C46="","",記入用!C46)</f>
        <v/>
      </c>
    </row>
    <row r="43" spans="2:3" ht="17" thickTop="1" thickBot="1">
      <c r="B43" s="63"/>
      <c r="C43" s="85" t="str">
        <f>IF(記入用!C47="","",記入用!C47)</f>
        <v/>
      </c>
    </row>
    <row r="44" spans="2:3" ht="17" thickTop="1" thickBot="1">
      <c r="B44" s="63"/>
      <c r="C44" s="85" t="str">
        <f>IF(記入用!C58="","",記入用!C58)</f>
        <v/>
      </c>
    </row>
    <row r="45" spans="2:3" ht="17" thickTop="1" thickBot="1">
      <c r="B45" s="63"/>
      <c r="C45" s="85" t="str">
        <f>IF(記入用!C59="","",記入用!C59)</f>
        <v/>
      </c>
    </row>
    <row r="46" spans="2:3" ht="17" customHeight="1" thickTop="1">
      <c r="B46" s="64" t="s">
        <v>1</v>
      </c>
      <c r="C46" s="83" t="str">
        <f>"13C{1H} NMR (126 MHz, "&amp;記入用!F5&amp;")"</f>
        <v>13C{1H} NMR (126 MHz, CDCl3)</v>
      </c>
    </row>
    <row r="47" spans="2:3" ht="15.5" customHeight="1">
      <c r="B47" s="65"/>
      <c r="C47" s="86" t="str">
        <f>IF(記入用!I8="","",記入用!I8&amp;IF(記入用!J8="",""," ("&amp;記入用!J8&amp;"C)"))</f>
        <v>170.29</v>
      </c>
    </row>
    <row r="48" spans="2:3">
      <c r="B48" s="65"/>
      <c r="C48" s="86" t="str">
        <f>IF(記入用!I9="","",記入用!I9&amp;IF(記入用!J9="",""," ("&amp;記入用!J9&amp;"C)"))</f>
        <v>170.22</v>
      </c>
    </row>
    <row r="49" spans="2:3">
      <c r="B49" s="65"/>
      <c r="C49" s="86" t="str">
        <f>IF(記入用!I10="","",記入用!I10&amp;IF(記入用!J10="",""," ("&amp;記入用!J10&amp;"C)"))</f>
        <v>156.57</v>
      </c>
    </row>
    <row r="50" spans="2:3">
      <c r="B50" s="65"/>
      <c r="C50" s="86" t="str">
        <f>IF(記入用!I11="","",記入用!I11&amp;IF(記入用!J11="",""," ("&amp;記入用!J11&amp;"C)"))</f>
        <v>138.67</v>
      </c>
    </row>
    <row r="51" spans="2:3">
      <c r="B51" s="65"/>
      <c r="C51" s="86" t="str">
        <f>IF(記入用!I12="","",記入用!I12&amp;IF(記入用!J12="",""," ("&amp;記入用!J12&amp;"C)"))</f>
        <v>138.48</v>
      </c>
    </row>
    <row r="52" spans="2:3">
      <c r="B52" s="65"/>
      <c r="C52" s="86" t="str">
        <f>IF(記入用!I13="","",記入用!I13&amp;IF(記入用!J13="",""," ("&amp;記入用!J13&amp;"C)"))</f>
        <v>137.88</v>
      </c>
    </row>
    <row r="53" spans="2:3">
      <c r="B53" s="65"/>
      <c r="C53" s="86" t="str">
        <f>IF(記入用!I14="","",記入用!I14&amp;IF(記入用!J14="",""," ("&amp;記入用!J14&amp;"C)"))</f>
        <v>137.33</v>
      </c>
    </row>
    <row r="54" spans="2:3">
      <c r="B54" s="65"/>
      <c r="C54" s="86" t="str">
        <f>IF(記入用!I15="","",記入用!I15&amp;IF(記入用!J15="",""," ("&amp;記入用!J15&amp;"C)"))</f>
        <v>128.96 (2C)</v>
      </c>
    </row>
    <row r="55" spans="2:3">
      <c r="B55" s="65"/>
      <c r="C55" s="86" t="str">
        <f>IF(記入用!I16="","",記入用!I16&amp;IF(記入用!J16="",""," ("&amp;記入用!J16&amp;"C)"))</f>
        <v>128.59 (2C)</v>
      </c>
    </row>
    <row r="56" spans="2:3">
      <c r="B56" s="65"/>
      <c r="C56" s="86" t="str">
        <f>IF(記入用!I17="","",記入用!I17&amp;IF(記入用!J17="",""," ("&amp;記入用!J17&amp;"C)"))</f>
        <v>128.51 (2C)</v>
      </c>
    </row>
    <row r="57" spans="2:3">
      <c r="B57" s="65"/>
      <c r="C57" s="86" t="str">
        <f>IF(記入用!I18="","",記入用!I18&amp;IF(記入用!J18="",""," ("&amp;記入用!J18&amp;"C)"))</f>
        <v>128.45 (2C)</v>
      </c>
    </row>
    <row r="58" spans="2:3">
      <c r="B58" s="65"/>
      <c r="C58" s="86" t="str">
        <f>IF(記入用!I19="","",記入用!I19&amp;IF(記入用!J19="",""," ("&amp;記入用!J19&amp;"C)"))</f>
        <v>128.42 (2C)</v>
      </c>
    </row>
    <row r="59" spans="2:3">
      <c r="B59" s="65"/>
      <c r="C59" s="86" t="str">
        <f>IF(記入用!I20="","",記入用!I20&amp;IF(記入用!J20="",""," ("&amp;記入用!J20&amp;"C)"))</f>
        <v>128.22 (2C)</v>
      </c>
    </row>
    <row r="60" spans="2:3">
      <c r="B60" s="65"/>
      <c r="C60" s="86" t="str">
        <f>IF(記入用!I21="","",記入用!I21&amp;IF(記入用!J21="",""," ("&amp;記入用!J21&amp;"C)"))</f>
        <v>128.06 (2C)</v>
      </c>
    </row>
    <row r="61" spans="2:3">
      <c r="B61" s="65"/>
      <c r="C61" s="86" t="str">
        <f>IF(記入用!I22="","",記入用!I22&amp;IF(記入用!J22="",""," ("&amp;記入用!J22&amp;"C)"))</f>
        <v>128.00</v>
      </c>
    </row>
    <row r="62" spans="2:3">
      <c r="B62" s="65"/>
      <c r="C62" s="86" t="str">
        <f>IF(記入用!I23="","",記入用!I23&amp;IF(記入用!J23="",""," ("&amp;記入用!J23&amp;"C)"))</f>
        <v>127.98</v>
      </c>
    </row>
    <row r="63" spans="2:3">
      <c r="B63" s="65"/>
      <c r="C63" s="86" t="str">
        <f>IF(記入用!I24="","",記入用!I24&amp;IF(記入用!J24="",""," ("&amp;記入用!J24&amp;"C)"))</f>
        <v>127.96 (2C)</v>
      </c>
    </row>
    <row r="64" spans="2:3">
      <c r="B64" s="65"/>
      <c r="C64" s="86" t="str">
        <f>IF(記入用!I25="","",記入用!I25&amp;IF(記入用!J25="",""," ("&amp;記入用!J25&amp;"C)"))</f>
        <v>127.77 (2C)</v>
      </c>
    </row>
    <row r="65" spans="2:3">
      <c r="B65" s="65"/>
      <c r="C65" s="86" t="str">
        <f>IF(記入用!I26="","",記入用!I26&amp;IF(記入用!J26="",""," ("&amp;記入用!J26&amp;"C)"))</f>
        <v>111.37</v>
      </c>
    </row>
    <row r="66" spans="2:3">
      <c r="B66" s="65"/>
      <c r="C66" s="86" t="str">
        <f>IF(記入用!I27="","",記入用!I27&amp;IF(記入用!J27="",""," ("&amp;記入用!J27&amp;"C)"))</f>
        <v>102.73</v>
      </c>
    </row>
    <row r="67" spans="2:3">
      <c r="B67" s="65"/>
      <c r="C67" s="86" t="str">
        <f>IF(記入用!I28="","",記入用!I28&amp;IF(記入用!J28="",""," ("&amp;記入用!J28&amp;"C)"))</f>
        <v>84.29</v>
      </c>
    </row>
    <row r="68" spans="2:3">
      <c r="B68" s="65"/>
      <c r="C68" s="86" t="str">
        <f>IF(記入用!I29="","",記入用!I29&amp;IF(記入用!J29="",""," ("&amp;記入用!J29&amp;"C)"))</f>
        <v>82.20</v>
      </c>
    </row>
    <row r="69" spans="2:3">
      <c r="B69" s="65"/>
      <c r="C69" s="86" t="str">
        <f>IF(記入用!I30="","",記入用!I30&amp;IF(記入用!J30="",""," ("&amp;記入用!J30&amp;"C)"))</f>
        <v>81.55</v>
      </c>
    </row>
    <row r="70" spans="2:3">
      <c r="B70" s="65"/>
      <c r="C70" s="86" t="str">
        <f>IF(記入用!I31="","",記入用!I31&amp;IF(記入用!J31="",""," ("&amp;記入用!J31&amp;"C)"))</f>
        <v>81.10</v>
      </c>
    </row>
    <row r="71" spans="2:3">
      <c r="B71" s="65"/>
      <c r="C71" s="86" t="str">
        <f>IF(記入用!I32="","",記入用!I32&amp;IF(記入用!J32="",""," ("&amp;記入用!J32&amp;"C)"))</f>
        <v>77.08</v>
      </c>
    </row>
    <row r="72" spans="2:3">
      <c r="B72" s="65"/>
      <c r="C72" s="86" t="str">
        <f>IF(記入用!I33="","",記入用!I33&amp;IF(記入用!J33="",""," ("&amp;記入用!J33&amp;"C)"))</f>
        <v>76.08</v>
      </c>
    </row>
    <row r="73" spans="2:3">
      <c r="B73" s="65"/>
      <c r="C73" s="86" t="str">
        <f>IF(記入用!I34="","",記入用!I34&amp;IF(記入用!J34="",""," ("&amp;記入用!J34&amp;"C)"))</f>
        <v>75.60</v>
      </c>
    </row>
    <row r="74" spans="2:3">
      <c r="B74" s="65"/>
      <c r="C74" s="86" t="str">
        <f>IF(記入用!I35="","",記入用!I35&amp;IF(記入用!J35="",""," ("&amp;記入用!J35&amp;"C)"))</f>
        <v>75.09</v>
      </c>
    </row>
    <row r="75" spans="2:3">
      <c r="B75" s="65"/>
      <c r="C75" s="86" t="str">
        <f>IF(記入用!I36="","",記入用!I36&amp;IF(記入用!J36="",""," ("&amp;記入用!J36&amp;"C)"))</f>
        <v>71.44</v>
      </c>
    </row>
    <row r="76" spans="2:3">
      <c r="B76" s="65"/>
      <c r="C76" s="86" t="str">
        <f>IF(記入用!I37="","",記入用!I37&amp;IF(記入用!J37="",""," ("&amp;記入用!J37&amp;"C)"))</f>
        <v>69.76</v>
      </c>
    </row>
    <row r="77" spans="2:3">
      <c r="B77" s="65"/>
      <c r="C77" s="86" t="str">
        <f>IF(記入用!I38="","",記入用!I38&amp;IF(記入用!J38="",""," ("&amp;記入用!J38&amp;"C)"))</f>
        <v>69.39</v>
      </c>
    </row>
    <row r="78" spans="2:3">
      <c r="B78" s="65"/>
      <c r="C78" s="86" t="str">
        <f>IF(記入用!I39="","",記入用!I39&amp;IF(記入用!J39="",""," ("&amp;記入用!J39&amp;"C)"))</f>
        <v>69.21</v>
      </c>
    </row>
    <row r="79" spans="2:3">
      <c r="B79" s="65"/>
      <c r="C79" s="86" t="str">
        <f>IF(記入用!I40="","",記入用!I40&amp;IF(記入用!J40="",""," ("&amp;記入用!J40&amp;"C)"))</f>
        <v>66.89</v>
      </c>
    </row>
    <row r="80" spans="2:3">
      <c r="B80" s="65"/>
      <c r="C80" s="86" t="str">
        <f>IF(記入用!I41="","",記入用!I41&amp;IF(記入用!J41="",""," ("&amp;記入用!J41&amp;"C)"))</f>
        <v>21.27</v>
      </c>
    </row>
    <row r="81" spans="2:3">
      <c r="B81" s="65"/>
      <c r="C81" s="86" t="str">
        <f>IF(記入用!I42="","",記入用!I42&amp;IF(記入用!J42="",""," ("&amp;記入用!J42&amp;"C)"))</f>
        <v>20.90</v>
      </c>
    </row>
    <row r="82" spans="2:3">
      <c r="B82" s="65"/>
      <c r="C82" s="86" t="str">
        <f>IF(記入用!I43="","",記入用!I43&amp;IF(記入用!J43="",""," ("&amp;記入用!J43&amp;"C)"))</f>
        <v>18.35 (3C)</v>
      </c>
    </row>
    <row r="83" spans="2:3">
      <c r="B83" s="65"/>
      <c r="C83" s="86" t="str">
        <f>IF(記入用!I44="","",記入用!I44&amp;IF(記入用!J44="",""," ("&amp;記入用!J44&amp;"C)"))</f>
        <v>18.18 (3C)</v>
      </c>
    </row>
    <row r="84" spans="2:3">
      <c r="B84" s="65"/>
      <c r="C84" s="86" t="str">
        <f>IF(記入用!I45="","",記入用!I45&amp;IF(記入用!J45="",""," ("&amp;記入用!J45&amp;"C)"))</f>
        <v>13.39 (3C)</v>
      </c>
    </row>
    <row r="85" spans="2:3">
      <c r="B85" s="65"/>
      <c r="C85" s="86" t="str">
        <f>IF(記入用!I46="","",記入用!I46&amp;IF(記入用!J46="",""," ("&amp;記入用!J46&amp;"C)"))</f>
        <v/>
      </c>
    </row>
    <row r="86" spans="2:3">
      <c r="B86" s="65"/>
      <c r="C86" s="86" t="str">
        <f>IF(記入用!I47="","",記入用!I47&amp;IF(記入用!J47="",""," ("&amp;記入用!J47&amp;"C)"))</f>
        <v/>
      </c>
    </row>
    <row r="87" spans="2:3">
      <c r="B87" s="65"/>
      <c r="C87" s="86" t="str">
        <f>IF(記入用!I48="","",記入用!I48&amp;IF(記入用!J48="",""," ("&amp;記入用!J48&amp;"C)"))</f>
        <v/>
      </c>
    </row>
    <row r="88" spans="2:3">
      <c r="B88" s="65"/>
      <c r="C88" s="86" t="str">
        <f>IF(記入用!I49="","",記入用!I49&amp;IF(記入用!J49="",""," ("&amp;記入用!J49&amp;"C)"))</f>
        <v/>
      </c>
    </row>
    <row r="89" spans="2:3">
      <c r="B89" s="65"/>
      <c r="C89" s="86" t="str">
        <f>IF(記入用!I50="","",記入用!I50&amp;IF(記入用!J50="",""," ("&amp;記入用!J50&amp;"C)"))</f>
        <v/>
      </c>
    </row>
    <row r="90" spans="2:3">
      <c r="B90" s="65"/>
      <c r="C90" s="86" t="str">
        <f>IF(記入用!I51="","",記入用!I51&amp;IF(記入用!J51="",""," ("&amp;記入用!J51&amp;"C)"))</f>
        <v/>
      </c>
    </row>
    <row r="91" spans="2:3">
      <c r="B91" s="65"/>
      <c r="C91" s="86" t="str">
        <f>IF(記入用!I52="","",記入用!I52&amp;IF(記入用!J52="",""," ("&amp;記入用!J52&amp;"C)"))</f>
        <v/>
      </c>
    </row>
    <row r="92" spans="2:3">
      <c r="B92" s="65"/>
      <c r="C92" s="86" t="str">
        <f>IF(記入用!I53="","",記入用!I53&amp;IF(記入用!J53="",""," ("&amp;記入用!J53&amp;"C)"))</f>
        <v/>
      </c>
    </row>
    <row r="93" spans="2:3">
      <c r="B93" s="65"/>
      <c r="C93" s="86" t="str">
        <f>IF(記入用!I54="","",記入用!I54&amp;IF(記入用!J54="",""," ("&amp;記入用!J54&amp;"C)"))</f>
        <v/>
      </c>
    </row>
    <row r="94" spans="2:3">
      <c r="B94" s="65"/>
      <c r="C94" s="86" t="str">
        <f>IF(記入用!I55="","",記入用!I55&amp;IF(記入用!J55="",""," ("&amp;記入用!J55&amp;"C)"))</f>
        <v/>
      </c>
    </row>
    <row r="95" spans="2:3">
      <c r="B95" s="65"/>
      <c r="C95" s="86" t="str">
        <f>IF(記入用!I56="","",記入用!I56&amp;IF(記入用!J56="",""," ("&amp;記入用!J56&amp;"C)"))</f>
        <v/>
      </c>
    </row>
    <row r="96" spans="2:3">
      <c r="B96" s="65"/>
      <c r="C96" s="86" t="str">
        <f>IF(記入用!I57="","",記入用!I57&amp;IF(記入用!J57="",""," ("&amp;記入用!J57&amp;"C)"))</f>
        <v/>
      </c>
    </row>
    <row r="97" spans="2:3">
      <c r="B97" s="65"/>
      <c r="C97" s="86" t="str">
        <f>IF(記入用!I58="","",記入用!I58&amp;IF(記入用!J58="",""," ("&amp;記入用!J58&amp;"C)"))</f>
        <v/>
      </c>
    </row>
    <row r="98" spans="2:3" ht="16" thickBot="1">
      <c r="B98" s="62"/>
      <c r="C98" s="86" t="str">
        <f>IF(記入用!I59="","",記入用!I59&amp;IF(記入用!J59="",""," ("&amp;記入用!J59&amp;"C)"))</f>
        <v/>
      </c>
    </row>
    <row r="99" spans="2:3" ht="16.5" customHeight="1" thickTop="1">
      <c r="B99" s="66" t="s">
        <v>25</v>
      </c>
      <c r="C99" s="87" t="str">
        <f>"19F NMR (476 MHz, "&amp;記入用!E5&amp;")"</f>
        <v>19F NMR (476 MHz, CDCl3)</v>
      </c>
    </row>
    <row r="100" spans="2:3" ht="15.5" customHeight="1">
      <c r="B100" s="67"/>
      <c r="C100" s="86" t="str">
        <f>IF(記入用!O8="","",記入用!O8)</f>
        <v/>
      </c>
    </row>
    <row r="101" spans="2:3">
      <c r="B101" s="67"/>
      <c r="C101" s="86" t="str">
        <f>IF(記入用!O9="","",記入用!O9)</f>
        <v/>
      </c>
    </row>
    <row r="102" spans="2:3">
      <c r="B102" s="67"/>
      <c r="C102" s="86" t="str">
        <f>IF(記入用!O10="","",記入用!O10)</f>
        <v/>
      </c>
    </row>
    <row r="103" spans="2:3">
      <c r="B103" s="67"/>
      <c r="C103" s="86" t="str">
        <f>IF(記入用!O11="","",記入用!O11)</f>
        <v/>
      </c>
    </row>
    <row r="104" spans="2:3" ht="16" thickBot="1">
      <c r="B104" s="68"/>
      <c r="C104" s="86" t="str">
        <f>IF(記入用!O12="","",記入用!O12)</f>
        <v/>
      </c>
    </row>
    <row r="105" spans="2:3" ht="17" thickTop="1" thickBot="1">
      <c r="B105" s="29" t="s">
        <v>26</v>
      </c>
      <c r="C105" s="88" t="str">
        <f>IF(記入用!I3="","","HRMS("&amp;記入用!H5&amp;"): "&amp;記入用!I3&amp;" ["&amp;記入用!I5&amp;"]+ "&amp;記入用!J3&amp;", found "&amp;記入用!J5&amp;".")</f>
        <v>HRMS(ESI): C42H65FO9 [M+Na]+ 755.4510, found 755.4496.</v>
      </c>
    </row>
    <row r="106" spans="2:3" ht="17" thickTop="1" thickBot="1">
      <c r="B106" s="29" t="s">
        <v>33</v>
      </c>
      <c r="C106" s="89" t="str">
        <f>IF(記入用!L4="","","[α]D"&amp;記入用!L5&amp;" "&amp;記入用!K4&amp;" (c = "&amp;記入用!K5&amp;", "&amp;記入用!L4&amp;").")</f>
        <v>[α]D29 -29.5 (c = 0.25, CHCl3).</v>
      </c>
    </row>
    <row r="107" spans="2:3" ht="16" thickTop="1"/>
  </sheetData>
  <mergeCells count="3">
    <mergeCell ref="B3:B45"/>
    <mergeCell ref="B46:B98"/>
    <mergeCell ref="B99:B104"/>
  </mergeCells>
  <phoneticPr fontId="1"/>
  <conditionalFormatting sqref="B3:B46 B105:B106">
    <cfRule type="notContainsBlanks" dxfId="3" priority="4">
      <formula>LEN(TRIM(B3))&gt;0</formula>
    </cfRule>
  </conditionalFormatting>
  <conditionalFormatting sqref="B2:C2">
    <cfRule type="notContainsBlanks" dxfId="2" priority="10">
      <formula>LEN(TRIM(B2))&gt;0</formula>
    </cfRule>
  </conditionalFormatting>
  <conditionalFormatting sqref="C3:C35">
    <cfRule type="cellIs" priority="8" operator="equal">
      <formula>0</formula>
    </cfRule>
  </conditionalFormatting>
  <conditionalFormatting sqref="C3:C45 C47:C106">
    <cfRule type="notContainsErrors" dxfId="1" priority="5">
      <formula>NOT(ISERROR(C3))</formula>
    </cfRule>
  </conditionalFormatting>
  <conditionalFormatting sqref="C45:C46">
    <cfRule type="cellIs" priority="2" operator="equal">
      <formula>0</formula>
    </cfRule>
  </conditionalFormatting>
  <conditionalFormatting sqref="C46">
    <cfRule type="notContainsErrors" dxfId="0" priority="1">
      <formula>NOT(ISERROR(C46))</formula>
    </cfRule>
  </conditionalFormatting>
  <conditionalFormatting sqref="C36:C45">
    <cfRule type="cellIs" priority="6" operator="equal">
      <formula>0</formula>
    </cfRule>
  </conditionalFormatting>
  <conditionalFormatting sqref="C47:C106">
    <cfRule type="cellIs" priority="3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07BD-C63A-2D48-80C7-6C2F997BAF06}">
  <dimension ref="A1:B5"/>
  <sheetViews>
    <sheetView zoomScale="150" workbookViewId="0">
      <selection activeCell="E13" sqref="E13"/>
    </sheetView>
  </sheetViews>
  <sheetFormatPr baseColWidth="10" defaultRowHeight="15"/>
  <cols>
    <col min="1" max="1" width="35.6640625" customWidth="1"/>
  </cols>
  <sheetData>
    <row r="1" spans="1:2">
      <c r="A1" t="str">
        <f>コピー用!N3</f>
        <v>1H NMR (500 MHz, CDCl3)</v>
      </c>
      <c r="B1" t="str">
        <f>コピー用!O3</f>
        <v>: δ 7.38–7.26 (m, 20H), 5.14 (dd, J = 34.3, 8.5 Hz, 1H), 5.11 (dd, J = 9.2, 9.0 Hz, 1H), 4.99 (ddd,  J = 10.3, 9.2, 5.6 Hz, 1H), 4.94 (m, 2H), 4.89 (d, J = 10.8 Hz, 1H), 4.82 (d, J = 10.8 Hz, 1H), 4.73 (d, J = 11.0 Hz, 1H), 4.72 (d, J = 10.2 Hz, 1H), 4.69 (d, J = 10.2 Hz, 1H), 4.59 (d, J = 11.8 Hz, 1H), 4.56 (d, J = 7.8 Hz, 1H), 4.34 (dd, J = 9.2, 8.5 Hz, 1H), 4.21 (dd, J = 9.1, 9.0 Hz, 1H), 4.07 (dd, J = 11.1, 5.6 Hz, 1H), 3.73 (dd, J = 24.2, 9.1 Hz, 1H), 3.68 (dd, J = 9.3, 9.1 Hz, 1H), 3.50 (dd, J = 9.2, 7.8 Hz, 1H), 3.42 (dd, J = 11.1, 10.3 Hz, 1H), 3.37 (dd, J = 9.2, 9.1 Hz, 1H), 2.09 (s, 3H), 2.04 (s, 3H), 1.11–1.07 (m, 21H).</v>
      </c>
    </row>
    <row r="2" spans="1:2">
      <c r="A2" t="str">
        <f>コピー用!N4</f>
        <v>13C{1H} NMR (126 MHz, CDCl3)</v>
      </c>
      <c r="B2" t="str">
        <f>コピー用!O4</f>
        <v>: δ 170.29, 170.22, 156.57, 138.67, 138.48, 137.88, 137.33, 128.96 (2C), 128.59 (2C), 128.51 (2C), 128.45 (2C), 128.42 (2C), 128.22 (2C), 128.06 (2C), 128.00, 127.98, 127.96 (2C), 127.77 (2C), 111.37, 102.73, 84.29, 82.20, 81.55, 81.10, 77.08, 76.08, 75.60, 75.09, 71.44, 69.76, 69.39, 69.21, 66.89, 21.27, 20.90, 18.35 (3C), 18.18 (3C), 13.39 (3C).</v>
      </c>
    </row>
    <row r="3" spans="1:2">
      <c r="A3" t="str">
        <f>コピー用!N5</f>
        <v>19F NMR (476 MHz, CDCl3)</v>
      </c>
      <c r="B3" t="e" vm="2">
        <f>コピー用!O5</f>
        <v>#VALUE!</v>
      </c>
    </row>
    <row r="4" spans="1:2">
      <c r="A4" t="str">
        <f>コピー用!N6</f>
        <v>HRMS(ESI)</v>
      </c>
      <c r="B4" t="str">
        <f>コピー用!O6</f>
        <v>: m/z [M+Na]+ calcd for C42H65FO9 755.4510, found 755.4496.</v>
      </c>
    </row>
    <row r="5" spans="1:2">
      <c r="A5" t="str">
        <f>コピー用!N7</f>
        <v>[α]D29</v>
      </c>
      <c r="B5" t="str">
        <f>コピー用!O7</f>
        <v xml:space="preserve"> -29.5 (c = 0.25, CHCl3).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F3DE4E45F9D95428AC942ECE09DD895" ma:contentTypeVersion="14" ma:contentTypeDescription="新しいドキュメントを作成します。" ma:contentTypeScope="" ma:versionID="03c981bd9e86417348c4fb044a226e95">
  <xsd:schema xmlns:xsd="http://www.w3.org/2001/XMLSchema" xmlns:xs="http://www.w3.org/2001/XMLSchema" xmlns:p="http://schemas.microsoft.com/office/2006/metadata/properties" xmlns:ns3="e2d8cd68-cf4d-4d35-adc3-1a7240fa18e9" xmlns:ns4="8b3e1ab7-c941-4ab6-8636-f5c76601f6d7" targetNamespace="http://schemas.microsoft.com/office/2006/metadata/properties" ma:root="true" ma:fieldsID="ca87d22cfc5da83cb2dabbb61989beca" ns3:_="" ns4:_="">
    <xsd:import namespace="e2d8cd68-cf4d-4d35-adc3-1a7240fa18e9"/>
    <xsd:import namespace="8b3e1ab7-c941-4ab6-8636-f5c76601f6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8cd68-cf4d-4d35-adc3-1a7240fa1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e1ab7-c941-4ab6-8636-f5c76601f6d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E59BF1-FBD1-447C-B066-DE47C921D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d8cd68-cf4d-4d35-adc3-1a7240fa18e9"/>
    <ds:schemaRef ds:uri="8b3e1ab7-c941-4ab6-8636-f5c76601f6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83DEDC-B957-4049-91D5-FEB923C0FA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C14AED-DD9E-4DF8-A5A9-580F513F3FE5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e2d8cd68-cf4d-4d35-adc3-1a7240fa18e9"/>
    <ds:schemaRef ds:uri="8b3e1ab7-c941-4ab6-8636-f5c76601f6d7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記入用</vt:lpstr>
      <vt:lpstr>コピー用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Template</dc:creator>
  <cp:lastModifiedBy>Public Template</cp:lastModifiedBy>
  <dcterms:created xsi:type="dcterms:W3CDTF">2015-06-05T18:19:34Z</dcterms:created>
  <dcterms:modified xsi:type="dcterms:W3CDTF">2026-04-29T10:13:22Z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0x0101002F3DE4E45F9D95428AC942ECE09DD895</vt:lpwstr>
  </property>
</Properties>
</file>